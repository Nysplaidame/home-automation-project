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2.xml" ContentType="application/vnd.openxmlformats-officedocument.drawing+xml"/>
  <Override PartName="/xl/worksheets/sheet18.xml" ContentType="application/vnd.openxmlformats-officedocument.spreadsheetml.worksheet+xml"/>
  <Override PartName="/xl/drawings/drawing3.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Easy Setup" sheetId="2" state="visible" r:id="rId2"/>
    <sheet name="All-in-One Dashboard" sheetId="3" state="visible" r:id="rId3"/>
    <sheet name="Annual Totals" sheetId="4" state="visible" r:id="rId4"/>
    <sheet name="January" sheetId="5" state="visible" r:id="rId5"/>
    <sheet name="February" sheetId="6" state="visible" r:id="rId6"/>
    <sheet name="March" sheetId="7" state="visible" r:id="rId7"/>
    <sheet name="April" sheetId="8" state="visible" r:id="rId8"/>
    <sheet name="May" sheetId="9" state="visible" r:id="rId9"/>
    <sheet name="June" sheetId="10" state="visible" r:id="rId10"/>
    <sheet name="July" sheetId="11" state="visible" r:id="rId11"/>
    <sheet name="August" sheetId="12" state="visible" r:id="rId12"/>
    <sheet name="September" sheetId="13" state="visible" r:id="rId13"/>
    <sheet name="October" sheetId="14" state="visible" r:id="rId14"/>
    <sheet name="November" sheetId="15" state="visible" r:id="rId15"/>
    <sheet name="December" sheetId="16" state="visible" r:id="rId16"/>
    <sheet name="50-30-20" sheetId="17" state="visible" r:id="rId17"/>
    <sheet name="Expense Dist" sheetId="18" state="visible" r:id="rId18"/>
    <sheet name="Sinking Funds" sheetId="19" state="visible" r:id="rId19"/>
    <sheet name="Debt Calc" sheetId="20" state="visible" r:id="rId20"/>
    <sheet name="Net Worth" sheetId="21" state="visible" r:id="rId21"/>
  </sheets>
  <definedNames>
    <definedName name="_xlnm._FilterDatabase" localSheetId="4" hidden="1">'January'!$D$30:$H$60</definedName>
    <definedName name="_xlnm._FilterDatabase" localSheetId="5" hidden="1">'February'!$D$30:$H$60</definedName>
    <definedName name="_xlnm._FilterDatabase" localSheetId="6" hidden="1">'March'!$D$30:$H$60</definedName>
    <definedName name="_xlnm._FilterDatabase" localSheetId="7" hidden="1">'April'!$D$30:$H$60</definedName>
    <definedName name="_xlnm._FilterDatabase" localSheetId="8" hidden="1">'May'!$D$30:$H$60</definedName>
    <definedName name="_xlnm._FilterDatabase" localSheetId="9" hidden="1">'June'!$D$30:$H$60</definedName>
    <definedName name="_xlnm._FilterDatabase" localSheetId="10" hidden="1">'July'!$D$30:$H$60</definedName>
    <definedName name="_xlnm._FilterDatabase" localSheetId="11" hidden="1">'August'!$D$30:$H$60</definedName>
    <definedName name="_xlnm._FilterDatabase" localSheetId="12" hidden="1">'September'!$D$30:$H$60</definedName>
    <definedName name="_xlnm._FilterDatabase" localSheetId="13" hidden="1">'October'!$D$30:$H$60</definedName>
    <definedName name="_xlnm._FilterDatabase" localSheetId="14" hidden="1">'November'!$D$30:$H$60</definedName>
    <definedName name="_xlnm._FilterDatabase" localSheetId="15" hidden="1">'December'!$D$30:$H$60</definedName>
  </definedNames>
  <calcPr calcId="124519" fullCalcOnLoad="1"/>
</workbook>
</file>

<file path=xl/styles.xml><?xml version="1.0" encoding="utf-8"?>
<styleSheet xmlns="http://schemas.openxmlformats.org/spreadsheetml/2006/main">
  <numFmts count="4">
    <numFmt numFmtId="164" formatCode="$#,##0"/>
    <numFmt numFmtId="165" formatCode="yyyy-mm-dd"/>
    <numFmt numFmtId="166" formatCode="MMM DD"/>
    <numFmt numFmtId="167" formatCode="0.0%"/>
  </numFmts>
  <fonts count="12">
    <font>
      <name val="Calibri"/>
      <family val="2"/>
      <color theme="1"/>
      <sz val="11"/>
      <scheme val="minor"/>
    </font>
    <font>
      <name val="Montserrat"/>
      <b val="1"/>
      <color rgb="00435239"/>
      <sz val="16"/>
    </font>
    <font>
      <name val="Calibri"/>
      <b val="1"/>
      <color rgb="00FFFFFF"/>
      <sz val="12"/>
    </font>
    <font>
      <name val="Calibri"/>
      <b val="1"/>
      <color rgb="00435239"/>
      <sz val="10"/>
    </font>
    <font>
      <name val="Calibri"/>
      <color rgb="00435239"/>
      <sz val="10"/>
    </font>
    <font>
      <name val="Calibri"/>
      <b val="1"/>
      <color rgb="00435239"/>
      <sz val="18"/>
    </font>
    <font>
      <name val="Calibri"/>
      <color rgb="00768975"/>
      <sz val="9"/>
    </font>
    <font>
      <name val="Calibri"/>
      <b val="1"/>
      <color rgb="00FFFFFF"/>
      <sz val="11"/>
    </font>
    <font>
      <name val="Calibri"/>
      <b val="1"/>
      <color rgb="00FFFFFF"/>
      <sz val="9"/>
    </font>
    <font>
      <name val="Calibri"/>
      <i val="1"/>
      <color rgb="00C7A491"/>
      <sz val="12"/>
    </font>
    <font>
      <name val="Calibri"/>
      <i val="1"/>
      <color rgb="00C7A491"/>
      <sz val="8"/>
    </font>
    <font>
      <name val="Calibri"/>
      <b val="1"/>
      <color rgb="00C7A491"/>
      <sz val="8"/>
    </font>
  </fonts>
  <fills count="9">
    <fill>
      <patternFill/>
    </fill>
    <fill>
      <patternFill patternType="gray125"/>
    </fill>
    <fill>
      <patternFill patternType="solid">
        <fgColor rgb="00F1F0ED"/>
      </patternFill>
    </fill>
    <fill>
      <patternFill patternType="solid">
        <fgColor rgb="00768975"/>
      </patternFill>
    </fill>
    <fill>
      <patternFill patternType="solid">
        <fgColor rgb="00E8D7D0"/>
      </patternFill>
    </fill>
    <fill>
      <patternFill patternType="solid">
        <fgColor rgb="00FFFDF7"/>
      </patternFill>
    </fill>
    <fill>
      <patternFill patternType="solid">
        <fgColor rgb="00FFFFFF"/>
      </patternFill>
    </fill>
    <fill>
      <patternFill patternType="solid">
        <fgColor rgb="00C7A491"/>
      </patternFill>
    </fill>
    <fill>
      <patternFill patternType="solid">
        <fgColor rgb="00FFFBFD"/>
      </patternFill>
    </fill>
  </fills>
  <borders count="11">
    <border>
      <left/>
      <right/>
      <top/>
      <bottom/>
      <diagonal/>
    </border>
    <border>
      <left style="thin">
        <color rgb="00E4E1D8"/>
      </left>
      <right style="thin">
        <color rgb="00E4E1D8"/>
      </right>
      <top style="thin">
        <color rgb="00E4E1D8"/>
      </top>
      <bottom style="thin">
        <color rgb="00E4E1D8"/>
      </bottom>
    </border>
    <border>
      <left/>
      <right/>
      <top style="thin">
        <color rgb="00E4E1D8"/>
      </top>
      <bottom/>
      <diagonal/>
    </border>
    <border>
      <left/>
      <right style="thin">
        <color rgb="00E4E1D8"/>
      </right>
      <top style="thin">
        <color rgb="00E4E1D8"/>
      </top>
      <bottom/>
      <diagonal/>
    </border>
    <border>
      <left/>
      <right/>
      <top style="thin">
        <color rgb="00E4E1D8"/>
      </top>
      <bottom style="thin">
        <color rgb="00E4E1D8"/>
      </bottom>
      <diagonal/>
    </border>
    <border>
      <left/>
      <right style="thin">
        <color rgb="00E4E1D8"/>
      </right>
      <top style="thin">
        <color rgb="00E4E1D8"/>
      </top>
      <bottom style="thin">
        <color rgb="00E4E1D8"/>
      </bottom>
      <diagonal/>
    </border>
    <border>
      <left style="thin">
        <color rgb="00E4E1D8"/>
      </left>
      <right/>
      <top/>
      <bottom/>
      <diagonal/>
    </border>
    <border>
      <left/>
      <right style="thin">
        <color rgb="00E4E1D8"/>
      </right>
      <top/>
      <bottom/>
      <diagonal/>
    </border>
    <border>
      <left style="thin">
        <color rgb="00E4E1D8"/>
      </left>
      <right/>
      <top/>
      <bottom style="thin">
        <color rgb="00E4E1D8"/>
      </bottom>
      <diagonal/>
    </border>
    <border>
      <left/>
      <right/>
      <top/>
      <bottom style="thin">
        <color rgb="00E4E1D8"/>
      </bottom>
      <diagonal/>
    </border>
    <border>
      <left/>
      <right style="thin">
        <color rgb="00E4E1D8"/>
      </right>
      <top/>
      <bottom style="thin">
        <color rgb="00E4E1D8"/>
      </bottom>
      <diagonal/>
    </border>
  </borders>
  <cellStyleXfs count="11">
    <xf numFmtId="0" fontId="0" fillId="0" borderId="0"/>
    <xf numFmtId="0" fontId="1" fillId="2" borderId="1" applyAlignment="1">
      <alignment horizontal="left" vertical="center"/>
    </xf>
    <xf numFmtId="0" fontId="2" fillId="3" borderId="1" applyAlignment="1">
      <alignment horizontal="left" vertical="center"/>
    </xf>
    <xf numFmtId="0" fontId="3" fillId="4" borderId="1" applyAlignment="1">
      <alignment horizontal="center" vertical="center"/>
    </xf>
    <xf numFmtId="0" fontId="4" fillId="5" borderId="1" applyAlignment="1">
      <alignment horizontal="left" vertical="center"/>
    </xf>
    <xf numFmtId="0" fontId="4" fillId="2" borderId="1" applyAlignment="1">
      <alignment horizontal="left" vertical="center"/>
    </xf>
    <xf numFmtId="0" fontId="5" fillId="6" borderId="1" applyAlignment="1">
      <alignment horizontal="center" vertical="center"/>
    </xf>
    <xf numFmtId="0" fontId="6" fillId="6" borderId="1" applyAlignment="1">
      <alignment horizontal="center" vertical="center"/>
    </xf>
    <xf numFmtId="0" fontId="7" fillId="7" borderId="1" applyAlignment="1">
      <alignment horizontal="left" vertical="center"/>
    </xf>
    <xf numFmtId="0" fontId="6" fillId="8" borderId="1" applyAlignment="1">
      <alignment horizontal="left" vertical="center" indent="1"/>
    </xf>
    <xf numFmtId="0" fontId="8" fillId="3" borderId="1" applyAlignment="1">
      <alignment horizontal="left" vertical="center" indent="1"/>
    </xf>
  </cellStyleXfs>
  <cellXfs count="35">
    <xf numFmtId="0" fontId="0" fillId="0" borderId="0" pivotButton="0" quotePrefix="0" xfId="0"/>
    <xf numFmtId="0" fontId="4" fillId="2" borderId="1" pivotButton="0" quotePrefix="0" xfId="0"/>
    <xf numFmtId="0" fontId="1" fillId="2" borderId="1" applyAlignment="1" pivotButton="0" quotePrefix="0" xfId="1">
      <alignment horizontal="left" vertical="center"/>
    </xf>
    <xf numFmtId="0" fontId="0" fillId="0" borderId="4" pivotButton="0" quotePrefix="0" xfId="0"/>
    <xf numFmtId="0" fontId="0" fillId="0" borderId="5" pivotButton="0" quotePrefix="0" xfId="0"/>
    <xf numFmtId="0" fontId="9" fillId="2" borderId="1" pivotButton="0" quotePrefix="0" xfId="0"/>
    <xf numFmtId="0" fontId="2" fillId="3" borderId="1" applyAlignment="1" pivotButton="0" quotePrefix="0" xfId="2">
      <alignment horizontal="left" vertical="center"/>
    </xf>
    <xf numFmtId="0" fontId="4" fillId="5" borderId="1" applyAlignment="1" pivotButton="0" quotePrefix="0" xfId="4">
      <alignment horizontal="left" vertical="center" wrapText="1" indent="1"/>
    </xf>
    <xf numFmtId="0" fontId="10" fillId="8" borderId="1" pivotButton="0" quotePrefix="0" xfId="0"/>
    <xf numFmtId="0" fontId="11" fillId="4" borderId="1" applyAlignment="1" pivotButton="0" quotePrefix="0" xfId="0">
      <alignment horizontal="left" vertical="center" indent="1"/>
    </xf>
    <xf numFmtId="0" fontId="6" fillId="8" borderId="1" applyAlignment="1" pivotButton="0" quotePrefix="0" xfId="9">
      <alignment horizontal="left" vertical="center" indent="1"/>
    </xf>
    <xf numFmtId="0" fontId="8" fillId="3" borderId="1" applyAlignment="1" pivotButton="0" quotePrefix="0" xfId="10">
      <alignment horizontal="left" vertical="center" indent="1"/>
    </xf>
    <xf numFmtId="0" fontId="3" fillId="5" borderId="1" applyAlignment="1" pivotButton="0" quotePrefix="0" xfId="4">
      <alignment horizontal="left" vertical="center"/>
    </xf>
    <xf numFmtId="0" fontId="4" fillId="5" borderId="1" applyAlignment="1" pivotButton="0" quotePrefix="0" xfId="4">
      <alignment horizontal="left" vertical="center"/>
    </xf>
    <xf numFmtId="0" fontId="3" fillId="4" borderId="1" applyAlignment="1" pivotButton="0" quotePrefix="0" xfId="3">
      <alignment horizontal="center" vertical="center"/>
    </xf>
    <xf numFmtId="164" fontId="4" fillId="5" borderId="1" applyAlignment="1" pivotButton="0" quotePrefix="0" xfId="4">
      <alignment horizontal="left" vertical="center"/>
    </xf>
    <xf numFmtId="0" fontId="4" fillId="2" borderId="1" applyAlignment="1" pivotButton="0" quotePrefix="0" xfId="5">
      <alignment horizontal="left" vertical="center"/>
    </xf>
    <xf numFmtId="164" fontId="4" fillId="2" borderId="1" applyAlignment="1" pivotButton="0" quotePrefix="0" xfId="5">
      <alignment horizontal="left" vertical="center"/>
    </xf>
    <xf numFmtId="0" fontId="7" fillId="7" borderId="1" applyAlignment="1" pivotButton="0" quotePrefix="0" xfId="8">
      <alignment horizontal="left" vertical="center"/>
    </xf>
    <xf numFmtId="164" fontId="7" fillId="7" borderId="1" applyAlignment="1" pivotButton="0" quotePrefix="0" xfId="8">
      <alignment horizontal="left" vertical="center"/>
    </xf>
    <xf numFmtId="164" fontId="5" fillId="6" borderId="1" applyAlignment="1" pivotButton="0" quotePrefix="0" xfId="6">
      <alignment horizontal="center" vertical="center"/>
    </xf>
    <xf numFmtId="0" fontId="0" fillId="6" borderId="1" pivotButton="0" quotePrefix="0" xfId="0"/>
    <xf numFmtId="9" fontId="5" fillId="6" borderId="1" applyAlignment="1" pivotButton="0" quotePrefix="0" xfId="6">
      <alignment horizontal="center" vertical="center"/>
    </xf>
    <xf numFmtId="0" fontId="6" fillId="6" borderId="1" applyAlignment="1" pivotButton="0" quotePrefix="0" xfId="7">
      <alignment horizontal="center" vertical="center"/>
    </xf>
    <xf numFmtId="0" fontId="3" fillId="2" borderId="1" applyAlignment="1" pivotButton="0" quotePrefix="0" xfId="5">
      <alignment horizontal="left" vertical="center"/>
    </xf>
    <xf numFmtId="166" fontId="4" fillId="5" borderId="1" applyAlignment="1" pivotButton="0" quotePrefix="0" xfId="4">
      <alignment horizontal="left" vertical="center"/>
    </xf>
    <xf numFmtId="166" fontId="4" fillId="2" borderId="1" applyAlignment="1" pivotButton="0" quotePrefix="0" xfId="5">
      <alignment horizontal="left" vertical="center"/>
    </xf>
    <xf numFmtId="164" fontId="4" fillId="2" borderId="1" pivotButton="0" quotePrefix="0" xfId="0"/>
    <xf numFmtId="0" fontId="4" fillId="5" borderId="1" applyAlignment="1" pivotButton="0" quotePrefix="0" xfId="4">
      <alignment vertical="center" wrapText="1"/>
    </xf>
    <xf numFmtId="9" fontId="4" fillId="5" borderId="1" applyAlignment="1" pivotButton="0" quotePrefix="0" xfId="4">
      <alignment horizontal="left" vertical="center"/>
    </xf>
    <xf numFmtId="9" fontId="4" fillId="2" borderId="1" applyAlignment="1" pivotButton="0" quotePrefix="0" xfId="5">
      <alignment horizontal="left" vertical="center"/>
    </xf>
    <xf numFmtId="9" fontId="7" fillId="7" borderId="1" applyAlignment="1" pivotButton="0" quotePrefix="0" xfId="8">
      <alignment horizontal="left" vertical="center"/>
    </xf>
    <xf numFmtId="167" fontId="4" fillId="5" borderId="1" applyAlignment="1" pivotButton="0" quotePrefix="0" xfId="4">
      <alignment horizontal="left" vertical="center"/>
    </xf>
    <xf numFmtId="167" fontId="4" fillId="2" borderId="1" applyAlignment="1" pivotButton="0" quotePrefix="0" xfId="5">
      <alignment horizontal="left" vertical="center"/>
    </xf>
    <xf numFmtId="0" fontId="5" fillId="6" borderId="1" applyAlignment="1" pivotButton="0" quotePrefix="0" xfId="6">
      <alignment horizontal="center" vertical="center"/>
    </xf>
  </cellXfs>
  <cellStyles count="11">
    <cellStyle name="Normal" xfId="0" builtinId="0" hidden="0"/>
    <cellStyle name="title" xfId="1" hidden="0"/>
    <cellStyle name="section_header" xfId="2" hidden="0"/>
    <cellStyle name="column_header" xfId="3" hidden="0"/>
    <cellStyle name="data_cell" xfId="4" hidden="0"/>
    <cellStyle name="data_alt" xfId="5" hidden="0"/>
    <cellStyle name="kpi_value" xfId="6" hidden="0"/>
    <cellStyle name="kpi_label" xfId="7" hidden="0"/>
    <cellStyle name="total_row" xfId="8" hidden="0"/>
    <cellStyle name="sidebar_link" xfId="9" hidden="0"/>
    <cellStyle name="sidebar_active" xfId="10" hidden="0"/>
  </cellStyles>
  <dxfs count="2">
    <dxf>
      <font>
        <name val="Calibri"/>
        <color rgb="002E7D32"/>
        <sz val="10"/>
      </font>
    </dxf>
    <dxf>
      <font>
        <name val="Calibri"/>
        <color rgb="00C62828"/>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harts/chart1.xml><?xml version="1.0" encoding="utf-8"?>
<chartSpace xmlns:a="http://schemas.openxmlformats.org/drawingml/2006/main" xmlns="http://schemas.openxmlformats.org/drawingml/2006/chart">
  <style val="10"/>
  <chart>
    <title>
      <tx>
        <rich>
          <a:bodyPr/>
          <a:p>
            <a:pPr>
              <a:defRPr/>
            </a:pPr>
            <a:r>
              <a:t>EXPENSE BREAKDOWN</a:t>
            </a:r>
          </a:p>
        </rich>
      </tx>
    </title>
    <plotArea>
      <doughnutChart>
        <varyColors val="1"/>
        <ser>
          <idx val="0"/>
          <order val="0"/>
          <tx>
            <strRef>
              <f>'All-in-One Dashboard'!AI1</f>
            </strRef>
          </tx>
          <spPr>
            <a:ln>
              <a:prstDash val="solid"/>
            </a:ln>
          </spPr>
          <cat>
            <numRef>
              <f>'All-in-One Dashboard'!$AH$2:$AH$9</f>
            </numRef>
          </cat>
          <val>
            <numRef>
              <f>'All-in-One Dashboard'!$AI$2:$AI$9</f>
            </numRef>
          </val>
        </ser>
        <dLbls>
          <showPercent val="1"/>
        </dLbls>
        <firstSliceAng val="0"/>
        <holeSize val="10"/>
      </doughnutChart>
    </plotArea>
    <legend>
      <legendPos val="b"/>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INCOME vs EXPENSES</a:t>
            </a:r>
          </a:p>
        </rich>
      </tx>
    </title>
    <plotArea>
      <barChart>
        <barDir val="col"/>
        <grouping val="clustered"/>
        <ser>
          <idx val="0"/>
          <order val="0"/>
          <tx>
            <strRef>
              <f>'All-in-One Dashboard'!AI12</f>
            </strRef>
          </tx>
          <spPr>
            <a:ln>
              <a:prstDash val="solid"/>
            </a:ln>
          </spPr>
          <cat>
            <numRef>
              <f>'All-in-One Dashboard'!$AH$13:$AH$24</f>
            </numRef>
          </cat>
          <val>
            <numRef>
              <f>'All-in-One Dashboard'!$AI$13:$AI$24</f>
            </numRef>
          </val>
        </ser>
        <ser>
          <idx val="1"/>
          <order val="1"/>
          <tx>
            <strRef>
              <f>'All-in-One Dashboard'!AJ12</f>
            </strRef>
          </tx>
          <spPr>
            <a:ln>
              <a:prstDash val="solid"/>
            </a:ln>
          </spPr>
          <cat>
            <numRef>
              <f>'All-in-One Dashboard'!$AH$13:$AH$24</f>
            </numRef>
          </cat>
          <val>
            <numRef>
              <f>'All-in-One Dashboard'!$AJ$13:$AJ$24</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SAVINGS TREND</a:t>
            </a:r>
          </a:p>
        </rich>
      </tx>
    </title>
    <plotArea>
      <areaChart>
        <grouping val="standard"/>
        <ser>
          <idx val="0"/>
          <order val="0"/>
          <tx>
            <strRef>
              <f>'All-in-One Dashboard'!AI26</f>
            </strRef>
          </tx>
          <spPr>
            <a:ln>
              <a:prstDash val="solid"/>
            </a:ln>
          </spPr>
          <cat>
            <numRef>
              <f>'All-in-One Dashboard'!$AH$27:$AH$38</f>
            </numRef>
          </cat>
          <val>
            <numRef>
              <f>'All-in-One Dashboard'!$AI$27:$AI$38</f>
            </numRef>
          </val>
        </ser>
        <dLbls>
          <showVal val="1"/>
        </dLbls>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TOP SPENDING CATEGORIES</a:t>
            </a:r>
          </a:p>
        </rich>
      </tx>
    </title>
    <plotArea>
      <barChart>
        <barDir val="col"/>
        <grouping val="clustered"/>
        <ser>
          <idx val="0"/>
          <order val="0"/>
          <tx>
            <strRef>
              <f>'All-in-One Dashboard'!AI1</f>
            </strRef>
          </tx>
          <spPr>
            <a:ln>
              <a:prstDash val="solid"/>
            </a:ln>
          </spPr>
          <cat>
            <numRef>
              <f>'All-in-One Dashboard'!$AH$2:$AH$9</f>
            </numRef>
          </cat>
          <val>
            <numRef>
              <f>'All-in-One Dashboard'!$AI$2:$AI$9</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50/30/20 SPLIT</a:t>
            </a:r>
          </a:p>
        </rich>
      </tx>
    </title>
    <plotArea>
      <doughnutChart>
        <varyColors val="1"/>
        <ser>
          <idx val="0"/>
          <order val="0"/>
          <tx>
            <strRef>
              <f>'50-30-20'!AI1</f>
            </strRef>
          </tx>
          <spPr>
            <a:ln>
              <a:prstDash val="solid"/>
            </a:ln>
          </spPr>
          <cat>
            <numRef>
              <f>'50-30-20'!$AH$2:$AH$4</f>
            </numRef>
          </cat>
          <val>
            <numRef>
              <f>'50-30-20'!$AI$2:$AI$4</f>
            </numRef>
          </val>
        </ser>
        <ser>
          <idx val="1"/>
          <order val="1"/>
          <tx>
            <strRef>
              <f>'50-30-20'!AJ1</f>
            </strRef>
          </tx>
          <spPr>
            <a:ln>
              <a:prstDash val="solid"/>
            </a:ln>
          </spPr>
          <cat>
            <numRef>
              <f>'50-30-20'!$AH$2:$AH$4</f>
            </numRef>
          </cat>
          <val>
            <numRef>
              <f>'50-30-20'!$AJ$2:$AJ$4</f>
            </numRef>
          </val>
        </ser>
        <dLbls>
          <showPercent val="1"/>
        </dLbls>
        <firstSliceAng val="0"/>
        <holeSize val="10"/>
      </doughnutChart>
    </plotArea>
    <legend>
      <legendPos val="b"/>
    </legend>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SPENDING BY CATEGORY</a:t>
            </a:r>
          </a:p>
        </rich>
      </tx>
    </title>
    <plotArea>
      <pieChart>
        <varyColors val="1"/>
        <ser>
          <idx val="0"/>
          <order val="0"/>
          <tx>
            <strRef>
              <f>'Expense Dist'!E7</f>
            </strRef>
          </tx>
          <spPr>
            <a:ln>
              <a:prstDash val="solid"/>
            </a:ln>
          </spPr>
          <cat>
            <numRef>
              <f>'Expense Dist'!$D$8:$D$23</f>
            </numRef>
          </cat>
          <val>
            <numRef>
              <f>'Expense Dist'!$E$8:$E$23</f>
            </numRef>
          </val>
        </ser>
        <dLbls>
          <showPercent val="1"/>
        </dLbls>
        <firstSliceAng val="0"/>
      </pieChart>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s>
</file>

<file path=xl/drawings/_rels/drawing3.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11</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11</row>
      <rowOff>0</rowOff>
    </from>
    <ext cx="6480000" cy="43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26</row>
      <rowOff>0</rowOff>
    </from>
    <ext cx="6480000" cy="4320000"/>
    <graphicFrame>
      <nvGraphicFramePr>
        <cNvPr id="3" name="Chart 3"/>
        <cNvGraphicFramePr/>
      </nvGraphicFramePr>
      <xfrm/>
      <a:graphic>
        <a:graphicData uri="http://schemas.openxmlformats.org/drawingml/2006/chart">
          <c:chart r:id="rId3"/>
        </a:graphicData>
      </a:graphic>
    </graphicFrame>
    <clientData/>
  </oneCellAnchor>
  <oneCellAnchor>
    <from>
      <col>13</col>
      <colOff>0</colOff>
      <row>26</row>
      <rowOff>0</rowOff>
    </from>
    <ext cx="6480000" cy="432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18</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6</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3.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 Type="http://schemas.openxmlformats.org/officeDocument/2006/relationships/drawing" Target="/xl/drawings/drawing1.xml" Id="rId22" /></Relationships>
</file>

<file path=xl/worksheets/_rels/sheet4.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5.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6.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7.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8.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9.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10.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11.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12.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13.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14.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15.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16.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17.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 Type="http://schemas.openxmlformats.org/officeDocument/2006/relationships/drawing" Target="/xl/drawings/drawing2.xml" Id="rId22" /></Relationships>
</file>

<file path=xl/worksheets/_rels/sheet18.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 Type="http://schemas.openxmlformats.org/officeDocument/2006/relationships/drawing" Target="/xl/drawings/drawing3.xml" Id="rId22" /></Relationships>
</file>

<file path=xl/worksheets/_rels/sheet19.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20.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_rels/sheet21.xml.rels><Relationships xmlns="http://schemas.openxmlformats.org/package/2006/relationships"><Relationship Type="http://schemas.openxmlformats.org/officeDocument/2006/relationships/hyperlink" Target="#'Instructions'!D2" TargetMode="External" Id="rId1" /><Relationship Type="http://schemas.openxmlformats.org/officeDocument/2006/relationships/hyperlink" Target="#'Easy Setup'!D2" TargetMode="External" Id="rId2" /><Relationship Type="http://schemas.openxmlformats.org/officeDocument/2006/relationships/hyperlink" Target="#'All-in-One Dashboard'!D2" TargetMode="External" Id="rId3" /><Relationship Type="http://schemas.openxmlformats.org/officeDocument/2006/relationships/hyperlink" Target="#'Annual Totals'!D2" TargetMode="External" Id="rId4" /><Relationship Type="http://schemas.openxmlformats.org/officeDocument/2006/relationships/hyperlink" Target="#'January'!D2" TargetMode="External" Id="rId5" /><Relationship Type="http://schemas.openxmlformats.org/officeDocument/2006/relationships/hyperlink" Target="#'February'!D2" TargetMode="External" Id="rId6" /><Relationship Type="http://schemas.openxmlformats.org/officeDocument/2006/relationships/hyperlink" Target="#'March'!D2" TargetMode="External" Id="rId7" /><Relationship Type="http://schemas.openxmlformats.org/officeDocument/2006/relationships/hyperlink" Target="#'April'!D2" TargetMode="External" Id="rId8" /><Relationship Type="http://schemas.openxmlformats.org/officeDocument/2006/relationships/hyperlink" Target="#'May'!D2" TargetMode="External" Id="rId9" /><Relationship Type="http://schemas.openxmlformats.org/officeDocument/2006/relationships/hyperlink" Target="#'June'!D2" TargetMode="External" Id="rId10" /><Relationship Type="http://schemas.openxmlformats.org/officeDocument/2006/relationships/hyperlink" Target="#'July'!D2" TargetMode="External" Id="rId11" /><Relationship Type="http://schemas.openxmlformats.org/officeDocument/2006/relationships/hyperlink" Target="#'August'!D2" TargetMode="External" Id="rId12" /><Relationship Type="http://schemas.openxmlformats.org/officeDocument/2006/relationships/hyperlink" Target="#'September'!D2" TargetMode="External" Id="rId13" /><Relationship Type="http://schemas.openxmlformats.org/officeDocument/2006/relationships/hyperlink" Target="#'October'!D2" TargetMode="External" Id="rId14" /><Relationship Type="http://schemas.openxmlformats.org/officeDocument/2006/relationships/hyperlink" Target="#'November'!D2" TargetMode="External" Id="rId15" /><Relationship Type="http://schemas.openxmlformats.org/officeDocument/2006/relationships/hyperlink" Target="#'December'!D2" TargetMode="External" Id="rId16" /><Relationship Type="http://schemas.openxmlformats.org/officeDocument/2006/relationships/hyperlink" Target="#'50-30-20'!D2" TargetMode="External" Id="rId17" /><Relationship Type="http://schemas.openxmlformats.org/officeDocument/2006/relationships/hyperlink" Target="#'Expense Dist'!D2" TargetMode="External" Id="rId18" /><Relationship Type="http://schemas.openxmlformats.org/officeDocument/2006/relationships/hyperlink" Target="#'Sinking Funds'!D2" TargetMode="External" Id="rId19" /><Relationship Type="http://schemas.openxmlformats.org/officeDocument/2006/relationships/hyperlink" Target="#'Debt Calc'!D2" TargetMode="External" Id="rId20" /><Relationship Type="http://schemas.openxmlformats.org/officeDocument/2006/relationships/hyperlink" Target="#'Net Worth'!D2" TargetMode="External" Id="rId21" /></Relationships>
</file>

<file path=xl/worksheets/sheet1.xml><?xml version="1.0" encoding="utf-8"?>
<worksheet xmlns="http://schemas.openxmlformats.org/spreadsheetml/2006/main">
  <sheetPr>
    <tabColor rgb="00768975"/>
    <outlinePr summaryBelow="1" summaryRight="1"/>
    <pageSetUpPr/>
  </sheetPr>
  <dimension ref="A1:AC79"/>
  <sheetViews>
    <sheetView showGridLines="0" workbookViewId="0">
      <selection activeCell="A1" sqref="A1"/>
    </sheetView>
  </sheetViews>
  <sheetFormatPr baseColWidth="8" defaultRowHeight="15"/>
  <cols>
    <col width="3.25" customWidth="1" min="1" max="1"/>
    <col width="18.88" customWidth="1" min="2" max="2"/>
    <col width="3.25"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35" customHeight="1">
      <c r="A3" s="1" t="n"/>
      <c r="B3" s="1" t="n"/>
      <c r="C3" s="1" t="n"/>
      <c r="D3" s="2" t="inlineStr">
        <is>
          <t>ANNUAL BUDGET PLANNER</t>
        </is>
      </c>
      <c r="E3" s="3" t="n"/>
      <c r="F3" s="3" t="n"/>
      <c r="G3" s="3" t="n"/>
      <c r="H3" s="3" t="n"/>
      <c r="I3" s="3" t="n"/>
      <c r="J3" s="3" t="n"/>
      <c r="K3" s="3" t="n"/>
      <c r="L3" s="3" t="n"/>
      <c r="M3" s="3" t="n"/>
      <c r="N3" s="3" t="n"/>
      <c r="O3" s="3" t="n"/>
      <c r="P3" s="4" t="n"/>
      <c r="Q3" s="1" t="n"/>
      <c r="R3" s="1" t="n"/>
      <c r="S3" s="1" t="n"/>
      <c r="T3" s="1" t="n"/>
      <c r="U3" s="1" t="n"/>
      <c r="V3" s="1" t="n"/>
      <c r="W3" s="1" t="n"/>
      <c r="X3" s="1" t="n"/>
      <c r="Y3" s="1" t="n"/>
      <c r="Z3" s="1" t="n"/>
      <c r="AA3" s="1" t="n"/>
      <c r="AB3" s="1" t="n"/>
      <c r="AC3" s="1" t="n"/>
    </row>
    <row r="4" ht="15.75" customHeight="1">
      <c r="A4" s="1" t="n"/>
      <c r="B4" s="1" t="n"/>
      <c r="C4" s="1" t="n"/>
      <c r="D4" s="5" t="inlineStr">
        <is>
          <t>Your Complete Financial Planning Toolkit</t>
        </is>
      </c>
      <c r="E4" s="3" t="n"/>
      <c r="F4" s="3" t="n"/>
      <c r="G4" s="3" t="n"/>
      <c r="H4" s="3" t="n"/>
      <c r="I4" s="3" t="n"/>
      <c r="J4" s="3" t="n"/>
      <c r="K4" s="3" t="n"/>
      <c r="L4" s="3" t="n"/>
      <c r="M4" s="3" t="n"/>
      <c r="N4" s="3" t="n"/>
      <c r="O4" s="3" t="n"/>
      <c r="P4" s="4" t="n"/>
      <c r="Q4" s="1" t="n"/>
      <c r="R4" s="1" t="n"/>
      <c r="S4" s="1" t="n"/>
      <c r="T4" s="1" t="n"/>
      <c r="U4" s="1" t="n"/>
      <c r="V4" s="1" t="n"/>
      <c r="W4" s="1" t="n"/>
      <c r="X4" s="1" t="n"/>
      <c r="Y4" s="1" t="n"/>
      <c r="Z4" s="1" t="n"/>
      <c r="AA4" s="1" t="n"/>
      <c r="AB4" s="1" t="n"/>
      <c r="AC4" s="1" t="n"/>
    </row>
    <row r="5" ht="15.75" customHeight="1">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row>
    <row r="6" ht="28" customHeight="1">
      <c r="A6" s="1" t="n"/>
      <c r="B6" s="1" t="n"/>
      <c r="C6" s="1" t="n"/>
      <c r="D6" s="6" t="inlineStr">
        <is>
          <t>GETTING STARTED</t>
        </is>
      </c>
      <c r="E6" s="6" t="n"/>
      <c r="F6" s="6" t="n"/>
      <c r="G6" s="6" t="n"/>
      <c r="H6" s="6" t="n"/>
      <c r="I6" s="6" t="n"/>
      <c r="J6" s="6" t="n"/>
      <c r="K6" s="6" t="n"/>
      <c r="L6" s="6" t="n"/>
      <c r="M6" s="6" t="n"/>
      <c r="N6" s="6" t="n"/>
      <c r="O6" s="6" t="n"/>
      <c r="P6" s="6" t="n"/>
      <c r="Q6" s="1" t="n"/>
      <c r="R6" s="1" t="n"/>
      <c r="S6" s="1" t="n"/>
      <c r="T6" s="1" t="n"/>
      <c r="U6" s="1" t="n"/>
      <c r="V6" s="1" t="n"/>
      <c r="W6" s="1" t="n"/>
      <c r="X6" s="1" t="n"/>
      <c r="Y6" s="1" t="n"/>
      <c r="Z6" s="1" t="n"/>
      <c r="AA6" s="1" t="n"/>
      <c r="AB6" s="1" t="n"/>
      <c r="AC6" s="1" t="n"/>
    </row>
    <row r="7" ht="15.75" customHeight="1">
      <c r="A7" s="1" t="n"/>
      <c r="B7" s="1" t="n"/>
      <c r="C7" s="1" t="n"/>
      <c r="D7" s="7" t="inlineStr">
        <is>
          <t>1. Navigate to the "Easy Setup" tab to configure your budget</t>
        </is>
      </c>
      <c r="E7" s="3" t="n"/>
      <c r="F7" s="3" t="n"/>
      <c r="G7" s="3" t="n"/>
      <c r="H7" s="3" t="n"/>
      <c r="I7" s="3" t="n"/>
      <c r="J7" s="3" t="n"/>
      <c r="K7" s="3" t="n"/>
      <c r="L7" s="3" t="n"/>
      <c r="M7" s="3" t="n"/>
      <c r="N7" s="3" t="n"/>
      <c r="O7" s="3" t="n"/>
      <c r="P7" s="4" t="n"/>
      <c r="Q7" s="1" t="n"/>
      <c r="R7" s="1" t="n"/>
      <c r="S7" s="1" t="n"/>
      <c r="T7" s="1" t="n"/>
      <c r="U7" s="1" t="n"/>
      <c r="V7" s="1" t="n"/>
      <c r="W7" s="1" t="n"/>
      <c r="X7" s="1" t="n"/>
      <c r="Y7" s="1" t="n"/>
      <c r="Z7" s="1" t="n"/>
      <c r="AA7" s="1" t="n"/>
      <c r="AB7" s="1" t="n"/>
      <c r="AC7" s="1" t="n"/>
    </row>
    <row r="8" ht="15.75" customHeight="1">
      <c r="A8" s="1" t="n"/>
      <c r="B8" s="1" t="n"/>
      <c r="C8" s="1" t="n"/>
      <c r="D8" s="7" t="inlineStr">
        <is>
          <t>2. Enter your currency symbol, income sources, and expense categories</t>
        </is>
      </c>
      <c r="E8" s="3" t="n"/>
      <c r="F8" s="3" t="n"/>
      <c r="G8" s="3" t="n"/>
      <c r="H8" s="3" t="n"/>
      <c r="I8" s="3" t="n"/>
      <c r="J8" s="3" t="n"/>
      <c r="K8" s="3" t="n"/>
      <c r="L8" s="3" t="n"/>
      <c r="M8" s="3" t="n"/>
      <c r="N8" s="3" t="n"/>
      <c r="O8" s="3" t="n"/>
      <c r="P8" s="4" t="n"/>
      <c r="Q8" s="1" t="n"/>
      <c r="R8" s="1" t="n"/>
      <c r="S8" s="1" t="n"/>
      <c r="T8" s="1" t="n"/>
      <c r="U8" s="1" t="n"/>
      <c r="V8" s="1" t="n"/>
      <c r="W8" s="1" t="n"/>
      <c r="X8" s="1" t="n"/>
      <c r="Y8" s="1" t="n"/>
      <c r="Z8" s="1" t="n"/>
      <c r="AA8" s="1" t="n"/>
      <c r="AB8" s="1" t="n"/>
      <c r="AC8" s="1" t="n"/>
    </row>
    <row r="9" ht="15.75" customHeight="1">
      <c r="A9" s="1" t="n"/>
      <c r="B9" s="1" t="n"/>
      <c r="C9" s="1" t="n"/>
      <c r="D9" s="7" t="inlineStr">
        <is>
          <t>3. Set your budget amounts for each category</t>
        </is>
      </c>
      <c r="E9" s="3" t="n"/>
      <c r="F9" s="3" t="n"/>
      <c r="G9" s="3" t="n"/>
      <c r="H9" s="3" t="n"/>
      <c r="I9" s="3" t="n"/>
      <c r="J9" s="3" t="n"/>
      <c r="K9" s="3" t="n"/>
      <c r="L9" s="3" t="n"/>
      <c r="M9" s="3" t="n"/>
      <c r="N9" s="3" t="n"/>
      <c r="O9" s="3" t="n"/>
      <c r="P9" s="4" t="n"/>
      <c r="Q9" s="1" t="n"/>
      <c r="R9" s="1" t="n"/>
      <c r="S9" s="1" t="n"/>
      <c r="T9" s="1" t="n"/>
      <c r="U9" s="1" t="n"/>
      <c r="V9" s="1" t="n"/>
      <c r="W9" s="1" t="n"/>
      <c r="X9" s="1" t="n"/>
      <c r="Y9" s="1" t="n"/>
      <c r="Z9" s="1" t="n"/>
      <c r="AA9" s="1" t="n"/>
      <c r="AB9" s="1" t="n"/>
      <c r="AC9" s="1" t="n"/>
    </row>
    <row r="10" ht="15.75" customHeight="1">
      <c r="A10" s="1" t="n"/>
      <c r="B10" s="1" t="n"/>
      <c r="C10" s="1" t="n"/>
      <c r="D10" s="7" t="inlineStr">
        <is>
          <t>4. Monthly tabs will reference your setup data</t>
        </is>
      </c>
      <c r="E10" s="3" t="n"/>
      <c r="F10" s="3" t="n"/>
      <c r="G10" s="3" t="n"/>
      <c r="H10" s="3" t="n"/>
      <c r="I10" s="3" t="n"/>
      <c r="J10" s="3" t="n"/>
      <c r="K10" s="3" t="n"/>
      <c r="L10" s="3" t="n"/>
      <c r="M10" s="3" t="n"/>
      <c r="N10" s="3" t="n"/>
      <c r="O10" s="3" t="n"/>
      <c r="P10" s="4" t="n"/>
      <c r="Q10" s="1" t="n"/>
      <c r="R10" s="1" t="n"/>
      <c r="S10" s="1" t="n"/>
      <c r="T10" s="1" t="n"/>
      <c r="U10" s="1" t="n"/>
      <c r="V10" s="1" t="n"/>
      <c r="W10" s="1" t="n"/>
      <c r="X10" s="1" t="n"/>
      <c r="Y10" s="1" t="n"/>
      <c r="Z10" s="1" t="n"/>
      <c r="AA10" s="1" t="n"/>
      <c r="AB10" s="1" t="n"/>
      <c r="AC10" s="1" t="n"/>
    </row>
    <row r="11" ht="15.75" customHeight="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28" customHeight="1">
      <c r="A12" s="1" t="n"/>
      <c r="B12" s="1" t="n"/>
      <c r="C12" s="1" t="n"/>
      <c r="D12" s="6" t="inlineStr">
        <is>
          <t>HOW TO USE EACH TAB</t>
        </is>
      </c>
      <c r="E12" s="6" t="n"/>
      <c r="F12" s="6" t="n"/>
      <c r="G12" s="6" t="n"/>
      <c r="H12" s="6" t="n"/>
      <c r="I12" s="6" t="n"/>
      <c r="J12" s="6" t="n"/>
      <c r="K12" s="6" t="n"/>
      <c r="L12" s="6" t="n"/>
      <c r="M12" s="6" t="n"/>
      <c r="N12" s="6" t="n"/>
      <c r="O12" s="6" t="n"/>
      <c r="P12" s="6" t="n"/>
      <c r="Q12" s="1" t="n"/>
      <c r="R12" s="1" t="n"/>
      <c r="S12" s="1" t="n"/>
      <c r="T12" s="1" t="n"/>
      <c r="U12" s="1" t="n"/>
      <c r="V12" s="1" t="n"/>
      <c r="W12" s="1" t="n"/>
      <c r="X12" s="1" t="n"/>
      <c r="Y12" s="1" t="n"/>
      <c r="Z12" s="1" t="n"/>
      <c r="AA12" s="1" t="n"/>
      <c r="AB12" s="1" t="n"/>
      <c r="AC12" s="1" t="n"/>
    </row>
    <row r="13" ht="15.75" customHeight="1">
      <c r="A13" s="1" t="n"/>
      <c r="B13" s="1" t="n"/>
      <c r="C13" s="1" t="n"/>
      <c r="D13" s="7" t="inlineStr">
        <is>
          <t>Easy Setup  -  Configure your personal information and budget categories</t>
        </is>
      </c>
      <c r="E13" s="3" t="n"/>
      <c r="F13" s="3" t="n"/>
      <c r="G13" s="3" t="n"/>
      <c r="H13" s="3" t="n"/>
      <c r="I13" s="3" t="n"/>
      <c r="J13" s="3" t="n"/>
      <c r="K13" s="3" t="n"/>
      <c r="L13" s="3" t="n"/>
      <c r="M13" s="3" t="n"/>
      <c r="N13" s="3" t="n"/>
      <c r="O13" s="3" t="n"/>
      <c r="P13" s="4" t="n"/>
      <c r="Q13" s="1" t="n"/>
      <c r="R13" s="1" t="n"/>
      <c r="S13" s="1" t="n"/>
      <c r="T13" s="1" t="n"/>
      <c r="U13" s="1" t="n"/>
      <c r="V13" s="1" t="n"/>
      <c r="W13" s="1" t="n"/>
      <c r="X13" s="1" t="n"/>
      <c r="Y13" s="1" t="n"/>
      <c r="Z13" s="1" t="n"/>
      <c r="AA13" s="1" t="n"/>
      <c r="AB13" s="1" t="n"/>
      <c r="AC13" s="1" t="n"/>
    </row>
    <row r="14" ht="15.75" customHeight="1">
      <c r="A14" s="1" t="n"/>
      <c r="B14" s="1" t="n"/>
      <c r="C14" s="1" t="n"/>
      <c r="D14" s="7" t="inlineStr">
        <is>
          <t>All-in-One Dashboard  -  View your financial overview with charts and KPIs</t>
        </is>
      </c>
      <c r="E14" s="3" t="n"/>
      <c r="F14" s="3" t="n"/>
      <c r="G14" s="3" t="n"/>
      <c r="H14" s="3" t="n"/>
      <c r="I14" s="3" t="n"/>
      <c r="J14" s="3" t="n"/>
      <c r="K14" s="3" t="n"/>
      <c r="L14" s="3" t="n"/>
      <c r="M14" s="3" t="n"/>
      <c r="N14" s="3" t="n"/>
      <c r="O14" s="3" t="n"/>
      <c r="P14" s="4" t="n"/>
      <c r="Q14" s="1" t="n"/>
      <c r="R14" s="1" t="n"/>
      <c r="S14" s="1" t="n"/>
      <c r="T14" s="1" t="n"/>
      <c r="U14" s="1" t="n"/>
      <c r="V14" s="1" t="n"/>
      <c r="W14" s="1" t="n"/>
      <c r="X14" s="1" t="n"/>
      <c r="Y14" s="1" t="n"/>
      <c r="Z14" s="1" t="n"/>
      <c r="AA14" s="1" t="n"/>
      <c r="AB14" s="1" t="n"/>
      <c r="AC14" s="1" t="n"/>
    </row>
    <row r="15" ht="15.75" customHeight="1">
      <c r="A15" s="1" t="n"/>
      <c r="B15" s="1" t="n"/>
      <c r="C15" s="1" t="n"/>
      <c r="D15" s="7" t="inlineStr">
        <is>
          <t>Annual Totals  -  See yearly summary across all months</t>
        </is>
      </c>
      <c r="E15" s="3" t="n"/>
      <c r="F15" s="3" t="n"/>
      <c r="G15" s="3" t="n"/>
      <c r="H15" s="3" t="n"/>
      <c r="I15" s="3" t="n"/>
      <c r="J15" s="3" t="n"/>
      <c r="K15" s="3" t="n"/>
      <c r="L15" s="3" t="n"/>
      <c r="M15" s="3" t="n"/>
      <c r="N15" s="3" t="n"/>
      <c r="O15" s="3" t="n"/>
      <c r="P15" s="4" t="n"/>
      <c r="Q15" s="1" t="n"/>
      <c r="R15" s="1" t="n"/>
      <c r="S15" s="1" t="n"/>
      <c r="T15" s="1" t="n"/>
      <c r="U15" s="1" t="n"/>
      <c r="V15" s="1" t="n"/>
      <c r="W15" s="1" t="n"/>
      <c r="X15" s="1" t="n"/>
      <c r="Y15" s="1" t="n"/>
      <c r="Z15" s="1" t="n"/>
      <c r="AA15" s="1" t="n"/>
      <c r="AB15" s="1" t="n"/>
      <c r="AC15" s="1" t="n"/>
    </row>
    <row r="16" ht="15.75" customHeight="1">
      <c r="A16" s="1" t="n"/>
      <c r="B16" s="1" t="n"/>
      <c r="C16" s="1" t="n"/>
      <c r="D16" s="7" t="inlineStr">
        <is>
          <t>Monthly Tabs (Jan-Dec)  -  Track income and expenses each month</t>
        </is>
      </c>
      <c r="E16" s="3" t="n"/>
      <c r="F16" s="3" t="n"/>
      <c r="G16" s="3" t="n"/>
      <c r="H16" s="3" t="n"/>
      <c r="I16" s="3" t="n"/>
      <c r="J16" s="3" t="n"/>
      <c r="K16" s="3" t="n"/>
      <c r="L16" s="3" t="n"/>
      <c r="M16" s="3" t="n"/>
      <c r="N16" s="3" t="n"/>
      <c r="O16" s="3" t="n"/>
      <c r="P16" s="4" t="n"/>
      <c r="Q16" s="1" t="n"/>
      <c r="R16" s="1" t="n"/>
      <c r="S16" s="1" t="n"/>
      <c r="T16" s="1" t="n"/>
      <c r="U16" s="1" t="n"/>
      <c r="V16" s="1" t="n"/>
      <c r="W16" s="1" t="n"/>
      <c r="X16" s="1" t="n"/>
      <c r="Y16" s="1" t="n"/>
      <c r="Z16" s="1" t="n"/>
      <c r="AA16" s="1" t="n"/>
      <c r="AB16" s="1" t="n"/>
      <c r="AC16" s="1" t="n"/>
    </row>
    <row r="17" ht="15.75" customHeight="1">
      <c r="A17" s="1" t="n"/>
      <c r="B17" s="1" t="n"/>
      <c r="C17" s="1" t="n"/>
      <c r="D17" s="7" t="inlineStr">
        <is>
          <t>50/30/20 Dashboard  -  Evaluate your Needs/Wants/Savings split</t>
        </is>
      </c>
      <c r="E17" s="3" t="n"/>
      <c r="F17" s="3" t="n"/>
      <c r="G17" s="3" t="n"/>
      <c r="H17" s="3" t="n"/>
      <c r="I17" s="3" t="n"/>
      <c r="J17" s="3" t="n"/>
      <c r="K17" s="3" t="n"/>
      <c r="L17" s="3" t="n"/>
      <c r="M17" s="3" t="n"/>
      <c r="N17" s="3" t="n"/>
      <c r="O17" s="3" t="n"/>
      <c r="P17" s="4" t="n"/>
      <c r="Q17" s="1" t="n"/>
      <c r="R17" s="1" t="n"/>
      <c r="S17" s="1" t="n"/>
      <c r="T17" s="1" t="n"/>
      <c r="U17" s="1" t="n"/>
      <c r="V17" s="1" t="n"/>
      <c r="W17" s="1" t="n"/>
      <c r="X17" s="1" t="n"/>
      <c r="Y17" s="1" t="n"/>
      <c r="Z17" s="1" t="n"/>
      <c r="AA17" s="1" t="n"/>
      <c r="AB17" s="1" t="n"/>
      <c r="AC17" s="1" t="n"/>
    </row>
    <row r="18" ht="15.75" customHeight="1">
      <c r="A18" s="1" t="n"/>
      <c r="B18" s="1" t="n"/>
      <c r="C18" s="1" t="n"/>
      <c r="D18" s="7" t="inlineStr">
        <is>
          <t>Expense Distribution  -  Visual breakdown of spending by category</t>
        </is>
      </c>
      <c r="E18" s="3" t="n"/>
      <c r="F18" s="3" t="n"/>
      <c r="G18" s="3" t="n"/>
      <c r="H18" s="3" t="n"/>
      <c r="I18" s="3" t="n"/>
      <c r="J18" s="3" t="n"/>
      <c r="K18" s="3" t="n"/>
      <c r="L18" s="3" t="n"/>
      <c r="M18" s="3" t="n"/>
      <c r="N18" s="3" t="n"/>
      <c r="O18" s="3" t="n"/>
      <c r="P18" s="4" t="n"/>
      <c r="Q18" s="1" t="n"/>
      <c r="R18" s="1" t="n"/>
      <c r="S18" s="1" t="n"/>
      <c r="T18" s="1" t="n"/>
      <c r="U18" s="1" t="n"/>
      <c r="V18" s="1" t="n"/>
      <c r="W18" s="1" t="n"/>
      <c r="X18" s="1" t="n"/>
      <c r="Y18" s="1" t="n"/>
      <c r="Z18" s="1" t="n"/>
      <c r="AA18" s="1" t="n"/>
      <c r="AB18" s="1" t="n"/>
      <c r="AC18" s="1" t="n"/>
    </row>
    <row r="19" ht="15.75" customHeight="1">
      <c r="A19" s="1" t="n"/>
      <c r="B19" s="1" t="n"/>
      <c r="C19" s="1" t="n"/>
      <c r="D19" s="7" t="inlineStr">
        <is>
          <t>Sinking Funds  -  Plan and track savings goals</t>
        </is>
      </c>
      <c r="E19" s="3" t="n"/>
      <c r="F19" s="3" t="n"/>
      <c r="G19" s="3" t="n"/>
      <c r="H19" s="3" t="n"/>
      <c r="I19" s="3" t="n"/>
      <c r="J19" s="3" t="n"/>
      <c r="K19" s="3" t="n"/>
      <c r="L19" s="3" t="n"/>
      <c r="M19" s="3" t="n"/>
      <c r="N19" s="3" t="n"/>
      <c r="O19" s="3" t="n"/>
      <c r="P19" s="4" t="n"/>
      <c r="Q19" s="1" t="n"/>
      <c r="R19" s="1" t="n"/>
      <c r="S19" s="1" t="n"/>
      <c r="T19" s="1" t="n"/>
      <c r="U19" s="1" t="n"/>
      <c r="V19" s="1" t="n"/>
      <c r="W19" s="1" t="n"/>
      <c r="X19" s="1" t="n"/>
      <c r="Y19" s="1" t="n"/>
      <c r="Z19" s="1" t="n"/>
      <c r="AA19" s="1" t="n"/>
      <c r="AB19" s="1" t="n"/>
      <c r="AC19" s="1" t="n"/>
    </row>
    <row r="20" ht="15.75" customHeight="1">
      <c r="A20" s="1" t="n"/>
      <c r="B20" s="1" t="n"/>
      <c r="C20" s="1" t="n"/>
      <c r="D20" s="7" t="inlineStr">
        <is>
          <t>Debt Calculator  -  Plan your debt payoff strategy</t>
        </is>
      </c>
      <c r="E20" s="3" t="n"/>
      <c r="F20" s="3" t="n"/>
      <c r="G20" s="3" t="n"/>
      <c r="H20" s="3" t="n"/>
      <c r="I20" s="3" t="n"/>
      <c r="J20" s="3" t="n"/>
      <c r="K20" s="3" t="n"/>
      <c r="L20" s="3" t="n"/>
      <c r="M20" s="3" t="n"/>
      <c r="N20" s="3" t="n"/>
      <c r="O20" s="3" t="n"/>
      <c r="P20" s="4" t="n"/>
      <c r="Q20" s="1" t="n"/>
      <c r="R20" s="1" t="n"/>
      <c r="S20" s="1" t="n"/>
      <c r="T20" s="1" t="n"/>
      <c r="U20" s="1" t="n"/>
      <c r="V20" s="1" t="n"/>
      <c r="W20" s="1" t="n"/>
      <c r="X20" s="1" t="n"/>
      <c r="Y20" s="1" t="n"/>
      <c r="Z20" s="1" t="n"/>
      <c r="AA20" s="1" t="n"/>
      <c r="AB20" s="1" t="n"/>
      <c r="AC20" s="1" t="n"/>
    </row>
    <row r="21" ht="15.75" customHeight="1">
      <c r="A21" s="1" t="n"/>
      <c r="B21" s="1" t="n"/>
      <c r="C21" s="1" t="n"/>
      <c r="D21" s="7" t="inlineStr">
        <is>
          <t>Net Worth  -  Track your overall financial position</t>
        </is>
      </c>
      <c r="E21" s="3" t="n"/>
      <c r="F21" s="3" t="n"/>
      <c r="G21" s="3" t="n"/>
      <c r="H21" s="3" t="n"/>
      <c r="I21" s="3" t="n"/>
      <c r="J21" s="3" t="n"/>
      <c r="K21" s="3" t="n"/>
      <c r="L21" s="3" t="n"/>
      <c r="M21" s="3" t="n"/>
      <c r="N21" s="3" t="n"/>
      <c r="O21" s="3" t="n"/>
      <c r="P21" s="4" t="n"/>
      <c r="Q21" s="1" t="n"/>
      <c r="R21" s="1" t="n"/>
      <c r="S21" s="1" t="n"/>
      <c r="T21" s="1" t="n"/>
      <c r="U21" s="1" t="n"/>
      <c r="V21" s="1" t="n"/>
      <c r="W21" s="1" t="n"/>
      <c r="X21" s="1" t="n"/>
      <c r="Y21" s="1" t="n"/>
      <c r="Z21" s="1" t="n"/>
      <c r="AA21" s="1" t="n"/>
      <c r="AB21" s="1" t="n"/>
      <c r="AC21" s="1" t="n"/>
    </row>
    <row r="22" ht="15.7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28" customHeight="1">
      <c r="A23" s="1" t="n"/>
      <c r="B23" s="1" t="n"/>
      <c r="C23" s="1" t="n"/>
      <c r="D23" s="6" t="inlineStr">
        <is>
          <t>TIPS FOR SUCCESS</t>
        </is>
      </c>
      <c r="E23" s="6" t="n"/>
      <c r="F23" s="6" t="n"/>
      <c r="G23" s="6" t="n"/>
      <c r="H23" s="6" t="n"/>
      <c r="I23" s="6" t="n"/>
      <c r="J23" s="6" t="n"/>
      <c r="K23" s="6" t="n"/>
      <c r="L23" s="6" t="n"/>
      <c r="M23" s="6" t="n"/>
      <c r="N23" s="6" t="n"/>
      <c r="O23" s="6" t="n"/>
      <c r="P23" s="6" t="n"/>
      <c r="Q23" s="1" t="n"/>
      <c r="R23" s="1" t="n"/>
      <c r="S23" s="1" t="n"/>
      <c r="T23" s="1" t="n"/>
      <c r="U23" s="1" t="n"/>
      <c r="V23" s="1" t="n"/>
      <c r="W23" s="1" t="n"/>
      <c r="X23" s="1" t="n"/>
      <c r="Y23" s="1" t="n"/>
      <c r="Z23" s="1" t="n"/>
      <c r="AA23" s="1" t="n"/>
      <c r="AB23" s="1" t="n"/>
      <c r="AC23" s="1" t="n"/>
    </row>
    <row r="24" ht="15.75" customHeight="1">
      <c r="A24" s="1" t="n"/>
      <c r="B24" s="1" t="n"/>
      <c r="C24" s="1" t="n"/>
      <c r="D24" s="7" t="inlineStr">
        <is>
          <t>Update your expenses weekly for best accuracy</t>
        </is>
      </c>
      <c r="E24" s="3" t="n"/>
      <c r="F24" s="3" t="n"/>
      <c r="G24" s="3" t="n"/>
      <c r="H24" s="3" t="n"/>
      <c r="I24" s="3" t="n"/>
      <c r="J24" s="3" t="n"/>
      <c r="K24" s="3" t="n"/>
      <c r="L24" s="3" t="n"/>
      <c r="M24" s="3" t="n"/>
      <c r="N24" s="3" t="n"/>
      <c r="O24" s="3" t="n"/>
      <c r="P24" s="4" t="n"/>
      <c r="Q24" s="1" t="n"/>
      <c r="R24" s="1" t="n"/>
      <c r="S24" s="1" t="n"/>
      <c r="T24" s="1" t="n"/>
      <c r="U24" s="1" t="n"/>
      <c r="V24" s="1" t="n"/>
      <c r="W24" s="1" t="n"/>
      <c r="X24" s="1" t="n"/>
      <c r="Y24" s="1" t="n"/>
      <c r="Z24" s="1" t="n"/>
      <c r="AA24" s="1" t="n"/>
      <c r="AB24" s="1" t="n"/>
      <c r="AC24" s="1" t="n"/>
    </row>
    <row r="25" ht="15.75" customHeight="1">
      <c r="A25" s="1" t="n"/>
      <c r="B25" s="1" t="n"/>
      <c r="C25" s="1" t="n"/>
      <c r="D25" s="7" t="inlineStr">
        <is>
          <t>Review your Dashboard monthly to stay on track</t>
        </is>
      </c>
      <c r="E25" s="3" t="n"/>
      <c r="F25" s="3" t="n"/>
      <c r="G25" s="3" t="n"/>
      <c r="H25" s="3" t="n"/>
      <c r="I25" s="3" t="n"/>
      <c r="J25" s="3" t="n"/>
      <c r="K25" s="3" t="n"/>
      <c r="L25" s="3" t="n"/>
      <c r="M25" s="3" t="n"/>
      <c r="N25" s="3" t="n"/>
      <c r="O25" s="3" t="n"/>
      <c r="P25" s="4" t="n"/>
      <c r="Q25" s="1" t="n"/>
      <c r="R25" s="1" t="n"/>
      <c r="S25" s="1" t="n"/>
      <c r="T25" s="1" t="n"/>
      <c r="U25" s="1" t="n"/>
      <c r="V25" s="1" t="n"/>
      <c r="W25" s="1" t="n"/>
      <c r="X25" s="1" t="n"/>
      <c r="Y25" s="1" t="n"/>
      <c r="Z25" s="1" t="n"/>
      <c r="AA25" s="1" t="n"/>
      <c r="AB25" s="1" t="n"/>
      <c r="AC25" s="1" t="n"/>
    </row>
    <row r="26" ht="15.75" customHeight="1">
      <c r="A26" s="1" t="n"/>
      <c r="B26" s="1" t="n"/>
      <c r="C26" s="1" t="n"/>
      <c r="D26" s="7" t="inlineStr">
        <is>
          <t>Use the 50/30/20 tab to ensure balanced spending</t>
        </is>
      </c>
      <c r="E26" s="3" t="n"/>
      <c r="F26" s="3" t="n"/>
      <c r="G26" s="3" t="n"/>
      <c r="H26" s="3" t="n"/>
      <c r="I26" s="3" t="n"/>
      <c r="J26" s="3" t="n"/>
      <c r="K26" s="3" t="n"/>
      <c r="L26" s="3" t="n"/>
      <c r="M26" s="3" t="n"/>
      <c r="N26" s="3" t="n"/>
      <c r="O26" s="3" t="n"/>
      <c r="P26" s="4" t="n"/>
      <c r="Q26" s="1" t="n"/>
      <c r="R26" s="1" t="n"/>
      <c r="S26" s="1" t="n"/>
      <c r="T26" s="1" t="n"/>
      <c r="U26" s="1" t="n"/>
      <c r="V26" s="1" t="n"/>
      <c r="W26" s="1" t="n"/>
      <c r="X26" s="1" t="n"/>
      <c r="Y26" s="1" t="n"/>
      <c r="Z26" s="1" t="n"/>
      <c r="AA26" s="1" t="n"/>
      <c r="AB26" s="1" t="n"/>
      <c r="AC26" s="1" t="n"/>
    </row>
    <row r="27" ht="15.75" customHeight="1">
      <c r="A27" s="1" t="n"/>
      <c r="B27" s="1" t="n"/>
      <c r="C27" s="1" t="n"/>
      <c r="D27" s="7" t="inlineStr">
        <is>
          <t>Set up Sinking Funds for irregular expenses (holidays, car maintenance)</t>
        </is>
      </c>
      <c r="E27" s="3" t="n"/>
      <c r="F27" s="3" t="n"/>
      <c r="G27" s="3" t="n"/>
      <c r="H27" s="3" t="n"/>
      <c r="I27" s="3" t="n"/>
      <c r="J27" s="3" t="n"/>
      <c r="K27" s="3" t="n"/>
      <c r="L27" s="3" t="n"/>
      <c r="M27" s="3" t="n"/>
      <c r="N27" s="3" t="n"/>
      <c r="O27" s="3" t="n"/>
      <c r="P27" s="4" t="n"/>
      <c r="Q27" s="1" t="n"/>
      <c r="R27" s="1" t="n"/>
      <c r="S27" s="1" t="n"/>
      <c r="T27" s="1" t="n"/>
      <c r="U27" s="1" t="n"/>
      <c r="V27" s="1" t="n"/>
      <c r="W27" s="1" t="n"/>
      <c r="X27" s="1" t="n"/>
      <c r="Y27" s="1" t="n"/>
      <c r="Z27" s="1" t="n"/>
      <c r="AA27" s="1" t="n"/>
      <c r="AB27" s="1" t="n"/>
      <c r="AC27" s="1" t="n"/>
    </row>
    <row r="28" ht="15.75" customHeight="1">
      <c r="A28" s="1" t="n"/>
      <c r="B28" s="1" t="n"/>
      <c r="C28" s="1" t="n"/>
      <c r="D28" s="7" t="inlineStr">
        <is>
          <t>Track your Net Worth quarterly to see your progress</t>
        </is>
      </c>
      <c r="E28" s="3" t="n"/>
      <c r="F28" s="3" t="n"/>
      <c r="G28" s="3" t="n"/>
      <c r="H28" s="3" t="n"/>
      <c r="I28" s="3" t="n"/>
      <c r="J28" s="3" t="n"/>
      <c r="K28" s="3" t="n"/>
      <c r="L28" s="3" t="n"/>
      <c r="M28" s="3" t="n"/>
      <c r="N28" s="3" t="n"/>
      <c r="O28" s="3" t="n"/>
      <c r="P28" s="4" t="n"/>
      <c r="Q28" s="1" t="n"/>
      <c r="R28" s="1" t="n"/>
      <c r="S28" s="1" t="n"/>
      <c r="T28" s="1" t="n"/>
      <c r="U28" s="1" t="n"/>
      <c r="V28" s="1" t="n"/>
      <c r="W28" s="1" t="n"/>
      <c r="X28" s="1" t="n"/>
      <c r="Y28" s="1" t="n"/>
      <c r="Z28" s="1" t="n"/>
      <c r="AA28" s="1" t="n"/>
      <c r="AB28" s="1" t="n"/>
      <c r="AC28" s="1" t="n"/>
    </row>
    <row r="29" ht="15.75" customHeight="1">
      <c r="A29" s="1" t="n"/>
      <c r="B29" s="1" t="n"/>
      <c r="C29" s="1" t="n"/>
      <c r="D29" s="7" t="inlineStr">
        <is>
          <t>Use dropdown menus when available for consistent categorization</t>
        </is>
      </c>
      <c r="E29" s="3" t="n"/>
      <c r="F29" s="3" t="n"/>
      <c r="G29" s="3" t="n"/>
      <c r="H29" s="3" t="n"/>
      <c r="I29" s="3" t="n"/>
      <c r="J29" s="3" t="n"/>
      <c r="K29" s="3" t="n"/>
      <c r="L29" s="3" t="n"/>
      <c r="M29" s="3" t="n"/>
      <c r="N29" s="3" t="n"/>
      <c r="O29" s="3" t="n"/>
      <c r="P29" s="4" t="n"/>
      <c r="Q29" s="1" t="n"/>
      <c r="R29" s="1" t="n"/>
      <c r="S29" s="1" t="n"/>
      <c r="T29" s="1" t="n"/>
      <c r="U29" s="1" t="n"/>
      <c r="V29" s="1" t="n"/>
      <c r="W29" s="1" t="n"/>
      <c r="X29" s="1" t="n"/>
      <c r="Y29" s="1" t="n"/>
      <c r="Z29" s="1" t="n"/>
      <c r="AA29" s="1" t="n"/>
      <c r="AB29" s="1" t="n"/>
      <c r="AC29" s="1" t="n"/>
    </row>
    <row r="30" ht="15.7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28" customHeight="1">
      <c r="A31" s="1" t="n"/>
      <c r="B31" s="1" t="n"/>
      <c r="C31" s="1" t="n"/>
      <c r="D31" s="6" t="inlineStr">
        <is>
          <t>COLOR GUIDE</t>
        </is>
      </c>
      <c r="E31" s="6" t="n"/>
      <c r="F31" s="6" t="n"/>
      <c r="G31" s="6" t="n"/>
      <c r="H31" s="6" t="n"/>
      <c r="I31" s="6" t="n"/>
      <c r="J31" s="6" t="n"/>
      <c r="K31" s="6" t="n"/>
      <c r="L31" s="6" t="n"/>
      <c r="M31" s="6" t="n"/>
      <c r="N31" s="6" t="n"/>
      <c r="O31" s="6" t="n"/>
      <c r="P31" s="6" t="n"/>
      <c r="Q31" s="1" t="n"/>
      <c r="R31" s="1" t="n"/>
      <c r="S31" s="1" t="n"/>
      <c r="T31" s="1" t="n"/>
      <c r="U31" s="1" t="n"/>
      <c r="V31" s="1" t="n"/>
      <c r="W31" s="1" t="n"/>
      <c r="X31" s="1" t="n"/>
      <c r="Y31" s="1" t="n"/>
      <c r="Z31" s="1" t="n"/>
      <c r="AA31" s="1" t="n"/>
      <c r="AB31" s="1" t="n"/>
      <c r="AC31" s="1" t="n"/>
    </row>
    <row r="32" ht="15.75" customHeight="1">
      <c r="A32" s="1" t="n"/>
      <c r="B32" s="1" t="n"/>
      <c r="C32" s="1" t="n"/>
      <c r="D32" s="7" t="inlineStr">
        <is>
          <t>Sage Green headers  -  Section titles</t>
        </is>
      </c>
      <c r="E32" s="3" t="n"/>
      <c r="F32" s="3" t="n"/>
      <c r="G32" s="3" t="n"/>
      <c r="H32" s="3" t="n"/>
      <c r="I32" s="3" t="n"/>
      <c r="J32" s="3" t="n"/>
      <c r="K32" s="3" t="n"/>
      <c r="L32" s="3" t="n"/>
      <c r="M32" s="3" t="n"/>
      <c r="N32" s="3" t="n"/>
      <c r="O32" s="3" t="n"/>
      <c r="P32" s="4" t="n"/>
      <c r="Q32" s="1" t="n"/>
      <c r="R32" s="1" t="n"/>
      <c r="S32" s="1" t="n"/>
      <c r="T32" s="1" t="n"/>
      <c r="U32" s="1" t="n"/>
      <c r="V32" s="1" t="n"/>
      <c r="W32" s="1" t="n"/>
      <c r="X32" s="1" t="n"/>
      <c r="Y32" s="1" t="n"/>
      <c r="Z32" s="1" t="n"/>
      <c r="AA32" s="1" t="n"/>
      <c r="AB32" s="1" t="n"/>
      <c r="AC32" s="1" t="n"/>
    </row>
    <row r="33" ht="15.75" customHeight="1">
      <c r="A33" s="1" t="n"/>
      <c r="B33" s="1" t="n"/>
      <c r="C33" s="1" t="n"/>
      <c r="D33" s="7" t="inlineStr">
        <is>
          <t>Copper totals  -  Summary and total rows</t>
        </is>
      </c>
      <c r="E33" s="3" t="n"/>
      <c r="F33" s="3" t="n"/>
      <c r="G33" s="3" t="n"/>
      <c r="H33" s="3" t="n"/>
      <c r="I33" s="3" t="n"/>
      <c r="J33" s="3" t="n"/>
      <c r="K33" s="3" t="n"/>
      <c r="L33" s="3" t="n"/>
      <c r="M33" s="3" t="n"/>
      <c r="N33" s="3" t="n"/>
      <c r="O33" s="3" t="n"/>
      <c r="P33" s="4" t="n"/>
      <c r="Q33" s="1" t="n"/>
      <c r="R33" s="1" t="n"/>
      <c r="S33" s="1" t="n"/>
      <c r="T33" s="1" t="n"/>
      <c r="U33" s="1" t="n"/>
      <c r="V33" s="1" t="n"/>
      <c r="W33" s="1" t="n"/>
      <c r="X33" s="1" t="n"/>
      <c r="Y33" s="1" t="n"/>
      <c r="Z33" s="1" t="n"/>
      <c r="AA33" s="1" t="n"/>
      <c r="AB33" s="1" t="n"/>
      <c r="AC33" s="1" t="n"/>
    </row>
    <row r="34" ht="15.75" customHeight="1">
      <c r="A34" s="1" t="n"/>
      <c r="B34" s="1" t="n"/>
      <c r="C34" s="1" t="n"/>
      <c r="D34" s="7" t="inlineStr">
        <is>
          <t>Green text  -  Under budget (good!)</t>
        </is>
      </c>
      <c r="E34" s="3" t="n"/>
      <c r="F34" s="3" t="n"/>
      <c r="G34" s="3" t="n"/>
      <c r="H34" s="3" t="n"/>
      <c r="I34" s="3" t="n"/>
      <c r="J34" s="3" t="n"/>
      <c r="K34" s="3" t="n"/>
      <c r="L34" s="3" t="n"/>
      <c r="M34" s="3" t="n"/>
      <c r="N34" s="3" t="n"/>
      <c r="O34" s="3" t="n"/>
      <c r="P34" s="4" t="n"/>
      <c r="Q34" s="1" t="n"/>
      <c r="R34" s="1" t="n"/>
      <c r="S34" s="1" t="n"/>
      <c r="T34" s="1" t="n"/>
      <c r="U34" s="1" t="n"/>
      <c r="V34" s="1" t="n"/>
      <c r="W34" s="1" t="n"/>
      <c r="X34" s="1" t="n"/>
      <c r="Y34" s="1" t="n"/>
      <c r="Z34" s="1" t="n"/>
      <c r="AA34" s="1" t="n"/>
      <c r="AB34" s="1" t="n"/>
      <c r="AC34" s="1" t="n"/>
    </row>
    <row r="35" ht="15.75" customHeight="1">
      <c r="A35" s="1" t="n"/>
      <c r="B35" s="1" t="n"/>
      <c r="C35" s="1" t="n"/>
      <c r="D35" s="7" t="inlineStr">
        <is>
          <t>Rose text  -  Over budget (review needed)</t>
        </is>
      </c>
      <c r="E35" s="3" t="n"/>
      <c r="F35" s="3" t="n"/>
      <c r="G35" s="3" t="n"/>
      <c r="H35" s="3" t="n"/>
      <c r="I35" s="3" t="n"/>
      <c r="J35" s="3" t="n"/>
      <c r="K35" s="3" t="n"/>
      <c r="L35" s="3" t="n"/>
      <c r="M35" s="3" t="n"/>
      <c r="N35" s="3" t="n"/>
      <c r="O35" s="3" t="n"/>
      <c r="P35" s="4" t="n"/>
      <c r="Q35" s="1" t="n"/>
      <c r="R35" s="1" t="n"/>
      <c r="S35" s="1" t="n"/>
      <c r="T35" s="1" t="n"/>
      <c r="U35" s="1" t="n"/>
      <c r="V35" s="1" t="n"/>
      <c r="W35" s="1" t="n"/>
      <c r="X35" s="1" t="n"/>
      <c r="Y35" s="1" t="n"/>
      <c r="Z35" s="1" t="n"/>
      <c r="AA35" s="1" t="n"/>
      <c r="AB35" s="1" t="n"/>
      <c r="AC35" s="1" t="n"/>
    </row>
    <row r="36" ht="15.75" customHeight="1">
      <c r="A36" s="1" t="n"/>
      <c r="B36" s="1" t="n"/>
      <c r="C36" s="1" t="n"/>
      <c r="D36" s="7" t="inlineStr">
        <is>
          <t>Blush headers  -  Column labels</t>
        </is>
      </c>
      <c r="E36" s="3" t="n"/>
      <c r="F36" s="3" t="n"/>
      <c r="G36" s="3" t="n"/>
      <c r="H36" s="3" t="n"/>
      <c r="I36" s="3" t="n"/>
      <c r="J36" s="3" t="n"/>
      <c r="K36" s="3" t="n"/>
      <c r="L36" s="3" t="n"/>
      <c r="M36" s="3" t="n"/>
      <c r="N36" s="3" t="n"/>
      <c r="O36" s="3" t="n"/>
      <c r="P36" s="4" t="n"/>
      <c r="Q36" s="1" t="n"/>
      <c r="R36" s="1" t="n"/>
      <c r="S36" s="1" t="n"/>
      <c r="T36" s="1" t="n"/>
      <c r="U36" s="1" t="n"/>
      <c r="V36" s="1" t="n"/>
      <c r="W36" s="1" t="n"/>
      <c r="X36" s="1" t="n"/>
      <c r="Y36" s="1" t="n"/>
      <c r="Z36" s="1" t="n"/>
      <c r="AA36" s="1" t="n"/>
      <c r="AB36" s="1" t="n"/>
      <c r="AC36" s="1" t="n"/>
    </row>
    <row r="37" ht="15.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mergeCells count="30">
    <mergeCell ref="D28:P28"/>
    <mergeCell ref="D4:P4"/>
    <mergeCell ref="D18:P18"/>
    <mergeCell ref="D9:P9"/>
    <mergeCell ref="D12:P12"/>
    <mergeCell ref="D3:P3"/>
    <mergeCell ref="D8:P8"/>
    <mergeCell ref="D25:P25"/>
    <mergeCell ref="D15:P15"/>
    <mergeCell ref="D33:P33"/>
    <mergeCell ref="D24:P24"/>
    <mergeCell ref="D14:P14"/>
    <mergeCell ref="D29:P29"/>
    <mergeCell ref="D23:P23"/>
    <mergeCell ref="D35:P35"/>
    <mergeCell ref="D20:P20"/>
    <mergeCell ref="D26:P26"/>
    <mergeCell ref="D19:P19"/>
    <mergeCell ref="D34:P34"/>
    <mergeCell ref="D10:P10"/>
    <mergeCell ref="D31:P31"/>
    <mergeCell ref="D36:P36"/>
    <mergeCell ref="D6:P6"/>
    <mergeCell ref="D21:P21"/>
    <mergeCell ref="D13:P13"/>
    <mergeCell ref="D32:P32"/>
    <mergeCell ref="D27:P27"/>
    <mergeCell ref="D17:P17"/>
    <mergeCell ref="D7:P7"/>
    <mergeCell ref="D16:P16"/>
  </mergeCells>
  <pageMargins left="0.75" right="0.75" top="1" bottom="1" header="0.5" footer="0.5"/>
</worksheet>
</file>

<file path=xl/worksheets/sheet2.xml><?xml version="1.0" encoding="utf-8"?>
<worksheet xmlns="http://schemas.openxmlformats.org/spreadsheetml/2006/main">
  <sheetPr>
    <tabColor rgb="00768975"/>
    <outlinePr summaryBelow="1" summaryRight="1"/>
    <pageSetUpPr/>
  </sheetPr>
  <dimension ref="A1:AC79"/>
  <sheetViews>
    <sheetView showGridLines="0" workbookViewId="0">
      <selection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PERSONAL INFORMATION</t>
        </is>
      </c>
      <c r="E5" s="6" t="n"/>
      <c r="F5" s="6" t="n"/>
      <c r="G5" s="6" t="n"/>
      <c r="H5" s="6" t="n"/>
      <c r="I5" s="6" t="n"/>
      <c r="J5" s="6"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1"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2" t="inlineStr">
        <is>
          <t>Currency Symbol:</t>
        </is>
      </c>
      <c r="E7" s="13" t="inlineStr">
        <is>
          <t>$</t>
        </is>
      </c>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2" t="inlineStr">
        <is>
          <t>Start Month:</t>
        </is>
      </c>
      <c r="E8" s="13" t="inlineStr">
        <is>
          <t>January</t>
        </is>
      </c>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2" t="inlineStr">
        <is>
          <t>Budget Period:</t>
        </is>
      </c>
      <c r="E9" s="13" t="inlineStr">
        <is>
          <t>Monthly</t>
        </is>
      </c>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28" customHeight="1">
      <c r="A11" s="1" t="n"/>
      <c r="B11" s="1" t="n"/>
      <c r="C11" s="1" t="n"/>
      <c r="D11" s="6" t="inlineStr">
        <is>
          <t>INCOME SOURCES</t>
        </is>
      </c>
      <c r="E11" s="6" t="n"/>
      <c r="F11" s="6" t="n"/>
      <c r="G11" s="6" t="n"/>
      <c r="H11" s="6" t="n"/>
      <c r="I11" s="6" t="n"/>
      <c r="J11" s="6"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4" t="inlineStr">
        <is>
          <t>Source</t>
        </is>
      </c>
      <c r="E12" s="14" t="inlineStr">
        <is>
          <t>Monthly Amount</t>
        </is>
      </c>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3" t="inlineStr">
        <is>
          <t>Salary</t>
        </is>
      </c>
      <c r="E13" s="15" t="n">
        <v>5000</v>
      </c>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6" t="inlineStr">
        <is>
          <t>Side Hustle</t>
        </is>
      </c>
      <c r="E14" s="17" t="n">
        <v>500</v>
      </c>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15.75" customHeight="1">
      <c r="A15" s="1" t="n"/>
      <c r="B15" s="10" t="inlineStr">
        <is>
          <t>March</t>
        </is>
      </c>
      <c r="C15" s="1" t="n"/>
      <c r="D15" s="13" t="inlineStr">
        <is>
          <t>Freelance</t>
        </is>
      </c>
      <c r="E15" s="15" t="n">
        <v>800</v>
      </c>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6" t="inlineStr">
        <is>
          <t>Investments</t>
        </is>
      </c>
      <c r="E16" s="17" t="n">
        <v>200</v>
      </c>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3" t="inlineStr">
        <is>
          <t>Other</t>
        </is>
      </c>
      <c r="E17" s="15" t="n">
        <v>0</v>
      </c>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8" t="inlineStr">
        <is>
          <t>TOTAL INCOME</t>
        </is>
      </c>
      <c r="E18" s="19">
        <f>SUM(E13:E17)</f>
        <v/>
      </c>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28" customHeight="1">
      <c r="A20" s="1" t="n"/>
      <c r="B20" s="10" t="inlineStr">
        <is>
          <t>August</t>
        </is>
      </c>
      <c r="C20" s="1" t="n"/>
      <c r="D20" s="6" t="inlineStr">
        <is>
          <t>EXPENSE CATEGORIES</t>
        </is>
      </c>
      <c r="E20" s="6" t="n"/>
      <c r="F20" s="6" t="n"/>
      <c r="G20" s="6" t="n"/>
      <c r="H20" s="6" t="n"/>
      <c r="I20" s="6" t="n"/>
      <c r="J20" s="6"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4" t="inlineStr">
        <is>
          <t>Category</t>
        </is>
      </c>
      <c r="E21" s="14" t="inlineStr">
        <is>
          <t>Monthly Budget</t>
        </is>
      </c>
      <c r="F21" s="14" t="inlineStr">
        <is>
          <t>Priority</t>
        </is>
      </c>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3" t="inlineStr">
        <is>
          <t>Housing</t>
        </is>
      </c>
      <c r="E22" s="15" t="n">
        <v>1500</v>
      </c>
      <c r="F22" s="13" t="inlineStr">
        <is>
          <t>Need</t>
        </is>
      </c>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6" t="inlineStr">
        <is>
          <t>Utilities</t>
        </is>
      </c>
      <c r="E23" s="17" t="n">
        <v>200</v>
      </c>
      <c r="F23" s="16" t="inlineStr">
        <is>
          <t>Need</t>
        </is>
      </c>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3" t="inlineStr">
        <is>
          <t>Groceries</t>
        </is>
      </c>
      <c r="E24" s="15" t="n">
        <v>400</v>
      </c>
      <c r="F24" s="13" t="inlineStr">
        <is>
          <t>Need</t>
        </is>
      </c>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6" t="inlineStr">
        <is>
          <t>Transportation</t>
        </is>
      </c>
      <c r="E25" s="17" t="n">
        <v>300</v>
      </c>
      <c r="F25" s="16" t="inlineStr">
        <is>
          <t>Need</t>
        </is>
      </c>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3" t="inlineStr">
        <is>
          <t>Insurance</t>
        </is>
      </c>
      <c r="E26" s="15" t="n">
        <v>150</v>
      </c>
      <c r="F26" s="13" t="inlineStr">
        <is>
          <t>Need</t>
        </is>
      </c>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6" t="inlineStr">
        <is>
          <t>Healthcare</t>
        </is>
      </c>
      <c r="E27" s="17" t="n">
        <v>100</v>
      </c>
      <c r="F27" s="16" t="inlineStr">
        <is>
          <t>Need</t>
        </is>
      </c>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15.75" customHeight="1">
      <c r="A28" s="1" t="n"/>
      <c r="B28" s="10" t="inlineStr">
        <is>
          <t>Expense Dist</t>
        </is>
      </c>
      <c r="C28" s="1" t="n"/>
      <c r="D28" s="13" t="inlineStr">
        <is>
          <t>Entertainment</t>
        </is>
      </c>
      <c r="E28" s="15" t="n">
        <v>150</v>
      </c>
      <c r="F28" s="13" t="inlineStr">
        <is>
          <t>Want</t>
        </is>
      </c>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6" t="inlineStr">
        <is>
          <t>Dining Out</t>
        </is>
      </c>
      <c r="E29" s="17" t="n">
        <v>200</v>
      </c>
      <c r="F29" s="16" t="inlineStr">
        <is>
          <t>Want</t>
        </is>
      </c>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3" t="inlineStr">
        <is>
          <t>Shopping</t>
        </is>
      </c>
      <c r="E30" s="15" t="n">
        <v>150</v>
      </c>
      <c r="F30" s="13" t="inlineStr">
        <is>
          <t>Want</t>
        </is>
      </c>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16" t="inlineStr">
        <is>
          <t>Subscriptions</t>
        </is>
      </c>
      <c r="E31" s="17" t="n">
        <v>50</v>
      </c>
      <c r="F31" s="16" t="inlineStr">
        <is>
          <t>Want</t>
        </is>
      </c>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13" t="inlineStr">
        <is>
          <t>Savings</t>
        </is>
      </c>
      <c r="E32" s="15" t="n">
        <v>500</v>
      </c>
      <c r="F32" s="13" t="inlineStr">
        <is>
          <t>Savings</t>
        </is>
      </c>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16" t="inlineStr">
        <is>
          <t>Debt Payments</t>
        </is>
      </c>
      <c r="E33" s="17" t="n">
        <v>300</v>
      </c>
      <c r="F33" s="16" t="inlineStr">
        <is>
          <t>Need</t>
        </is>
      </c>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13" t="inlineStr">
        <is>
          <t>Education</t>
        </is>
      </c>
      <c r="E34" s="15" t="n">
        <v>100</v>
      </c>
      <c r="F34" s="13" t="inlineStr">
        <is>
          <t>Want</t>
        </is>
      </c>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16" t="inlineStr">
        <is>
          <t>Personal Care</t>
        </is>
      </c>
      <c r="E35" s="17" t="n">
        <v>75</v>
      </c>
      <c r="F35" s="16" t="inlineStr">
        <is>
          <t>Want</t>
        </is>
      </c>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13" t="inlineStr">
        <is>
          <t>Gifts</t>
        </is>
      </c>
      <c r="E36" s="15" t="n">
        <v>50</v>
      </c>
      <c r="F36" s="13" t="inlineStr">
        <is>
          <t>Want</t>
        </is>
      </c>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16" t="inlineStr">
        <is>
          <t>Miscellaneous</t>
        </is>
      </c>
      <c r="E37" s="17" t="n">
        <v>100</v>
      </c>
      <c r="F37" s="16" t="inlineStr">
        <is>
          <t>Want</t>
        </is>
      </c>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18" t="inlineStr">
        <is>
          <t>TOTAL EXPENSES</t>
        </is>
      </c>
      <c r="E38" s="19">
        <f>SUM(E22:E37)</f>
        <v/>
      </c>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mergeCells count="3">
    <mergeCell ref="D20:J20"/>
    <mergeCell ref="D11:J11"/>
    <mergeCell ref="D5:J5"/>
  </mergeCells>
  <dataValidations count="3">
    <dataValidation sqref="E8" showDropDown="0" showInputMessage="0" showErrorMessage="0" allowBlank="0" error="Please select a valid month" type="list">
      <formula1>"January,February,March,April,May,June,July,August,September,October,November,December"</formula1>
    </dataValidation>
    <dataValidation sqref="E9" showDropDown="0" showInputMessage="0" showErrorMessage="0" allowBlank="0" type="list">
      <formula1>"Monthly,Bi-weekly,Weekly"</formula1>
    </dataValidation>
    <dataValidation sqref="F22 F23 F24 F25 F26 F27 F28 F29 F30 F31 F32 F33 F34 F35 F36 F37" showDropDown="0" showInputMessage="0" showErrorMessage="0" allowBlank="0" type="list">
      <formula1>"Need,Want,Savings"</formula1>
    </dataValidation>
  </dataValidation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3.xml><?xml version="1.0" encoding="utf-8"?>
<worksheet xmlns="http://schemas.openxmlformats.org/spreadsheetml/2006/main">
  <sheetPr>
    <tabColor rgb="00768975"/>
    <outlinePr summaryBelow="1" summaryRight="1"/>
    <pageSetUpPr/>
  </sheetPr>
  <dimension ref="A1:AJ79"/>
  <sheetViews>
    <sheetView showGridLines="0" workbookViewId="0">
      <selection activeCell="A1" sqref="A1"/>
    </sheetView>
  </sheetViews>
  <sheetFormatPr baseColWidth="8" defaultRowHeight="15"/>
  <cols>
    <col width="3.25" customWidth="1" min="1" max="1"/>
    <col width="18.88" customWidth="1" min="2" max="2"/>
    <col width="3.25"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H1" t="inlineStr">
        <is>
          <t>Category</t>
        </is>
      </c>
      <c r="AI1" t="inlineStr">
        <is>
          <t>Amount</t>
        </is>
      </c>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H2" t="inlineStr">
        <is>
          <t>Housing</t>
        </is>
      </c>
      <c r="AI2" t="n">
        <v>1500</v>
      </c>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H3" t="inlineStr">
        <is>
          <t>Utilities</t>
        </is>
      </c>
      <c r="AI3" t="n">
        <v>200</v>
      </c>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H4" t="inlineStr">
        <is>
          <t>Groceries</t>
        </is>
      </c>
      <c r="AI4" t="n">
        <v>400</v>
      </c>
    </row>
    <row r="5" ht="28" customHeight="1">
      <c r="A5" s="1" t="n"/>
      <c r="B5" s="10" t="inlineStr">
        <is>
          <t>Instructions</t>
        </is>
      </c>
      <c r="C5" s="1" t="n"/>
      <c r="D5" s="2" t="inlineStr">
        <is>
          <t>FINANCIAL OVERVIEW</t>
        </is>
      </c>
      <c r="E5" s="3" t="n"/>
      <c r="F5" s="3" t="n"/>
      <c r="G5" s="3" t="n"/>
      <c r="H5" s="3" t="n"/>
      <c r="I5" s="3" t="n"/>
      <c r="J5" s="3" t="n"/>
      <c r="K5" s="3" t="n"/>
      <c r="L5" s="3" t="n"/>
      <c r="M5" s="3" t="n"/>
      <c r="N5" s="3" t="n"/>
      <c r="O5" s="3" t="n"/>
      <c r="P5" s="3" t="n"/>
      <c r="Q5" s="4" t="n"/>
      <c r="R5" s="1" t="n"/>
      <c r="S5" s="1" t="n"/>
      <c r="T5" s="1" t="n"/>
      <c r="U5" s="1" t="n"/>
      <c r="V5" s="1" t="n"/>
      <c r="W5" s="1" t="n"/>
      <c r="X5" s="1" t="n"/>
      <c r="Y5" s="1" t="n"/>
      <c r="Z5" s="1" t="n"/>
      <c r="AA5" s="1" t="n"/>
      <c r="AB5" s="1" t="n"/>
      <c r="AC5" s="1" t="n"/>
      <c r="AH5" t="inlineStr">
        <is>
          <t>Transportation</t>
        </is>
      </c>
      <c r="AI5" t="n">
        <v>300</v>
      </c>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c r="AH6" t="inlineStr">
        <is>
          <t>Insurance</t>
        </is>
      </c>
      <c r="AI6" t="n">
        <v>150</v>
      </c>
    </row>
    <row r="7" ht="15.75" customHeight="1">
      <c r="A7" s="1" t="n"/>
      <c r="B7" s="1" t="n"/>
      <c r="C7" s="1" t="n"/>
      <c r="D7" s="20">
        <f>SUM(January!E8:E12,February!E8:E12,March!E8:E12,April!E8:E12,May!E8:E12,June!E8:E12,July!E8:E12,August!E8:E12,September!E8:E12,October!E8:E12,November!E8:E12,December!E8:E12)</f>
        <v/>
      </c>
      <c r="E7" s="21" t="n"/>
      <c r="F7" s="21" t="n"/>
      <c r="G7" s="1" t="n"/>
      <c r="H7" s="20">
        <f>SUM(January!E19:E26,February!E19:E26,March!E19:E26,April!E19:E26,May!E19:E26,June!E19:E26,July!E19:E26,August!E19:E26,September!E19:E26,October!E19:E26,November!E19:E26,December!E19:E26)+SUM(January!H33:H62,February!H33:H62,March!H33:H62,April!H33:H62,May!H33:H62,June!H33:H62,July!H33:H62,August!H33:H62,September!H33:H62,October!H33:H62,November!H33:H62,December!H33:H62)</f>
        <v/>
      </c>
      <c r="I7" s="21" t="n"/>
      <c r="J7" s="21" t="n"/>
      <c r="K7" s="1" t="n"/>
      <c r="L7" s="20">
        <f>D7-H7</f>
        <v/>
      </c>
      <c r="M7" s="21" t="n"/>
      <c r="N7" s="21" t="n"/>
      <c r="O7" s="1" t="n"/>
      <c r="P7" s="22">
        <f>IF(D7&gt;0,L7/D7,0)</f>
        <v/>
      </c>
      <c r="Q7" s="21" t="n"/>
      <c r="R7" s="1" t="n"/>
      <c r="S7" s="1" t="n"/>
      <c r="T7" s="1" t="n"/>
      <c r="U7" s="1" t="n"/>
      <c r="V7" s="1" t="n"/>
      <c r="W7" s="1" t="n"/>
      <c r="X7" s="1" t="n"/>
      <c r="Y7" s="1" t="n"/>
      <c r="Z7" s="1" t="n"/>
      <c r="AA7" s="1" t="n"/>
      <c r="AB7" s="1" t="n"/>
      <c r="AC7" s="1" t="n"/>
      <c r="AH7" t="inlineStr">
        <is>
          <t>Healthcare</t>
        </is>
      </c>
      <c r="AI7" t="n">
        <v>100</v>
      </c>
    </row>
    <row r="8" ht="15.75" customHeight="1">
      <c r="A8" s="1" t="n"/>
      <c r="B8" s="9" t="inlineStr">
        <is>
          <t>DASHBOARDS</t>
        </is>
      </c>
      <c r="C8" s="1" t="n"/>
      <c r="D8" s="21" t="n"/>
      <c r="E8" s="21" t="n"/>
      <c r="F8" s="21" t="n"/>
      <c r="G8" s="1" t="n"/>
      <c r="H8" s="21" t="n"/>
      <c r="I8" s="21" t="n"/>
      <c r="J8" s="21" t="n"/>
      <c r="K8" s="1" t="n"/>
      <c r="L8" s="21" t="n"/>
      <c r="M8" s="21" t="n"/>
      <c r="N8" s="21" t="n"/>
      <c r="O8" s="1" t="n"/>
      <c r="P8" s="21" t="n"/>
      <c r="Q8" s="21" t="n"/>
      <c r="R8" s="1" t="n"/>
      <c r="S8" s="1" t="n"/>
      <c r="T8" s="1" t="n"/>
      <c r="U8" s="1" t="n"/>
      <c r="V8" s="1" t="n"/>
      <c r="W8" s="1" t="n"/>
      <c r="X8" s="1" t="n"/>
      <c r="Y8" s="1" t="n"/>
      <c r="Z8" s="1" t="n"/>
      <c r="AA8" s="1" t="n"/>
      <c r="AB8" s="1" t="n"/>
      <c r="AC8" s="1" t="n"/>
      <c r="AH8" t="inlineStr">
        <is>
          <t>Entertainment</t>
        </is>
      </c>
      <c r="AI8" t="n">
        <v>150</v>
      </c>
    </row>
    <row r="9" ht="15.75" customHeight="1">
      <c r="A9" s="1" t="n"/>
      <c r="B9" s="11" t="inlineStr">
        <is>
          <t>All-in-One Dashboard</t>
        </is>
      </c>
      <c r="C9" s="1" t="n"/>
      <c r="D9" s="23" t="inlineStr">
        <is>
          <t>Total Income</t>
        </is>
      </c>
      <c r="E9" s="21" t="n"/>
      <c r="F9" s="21" t="n"/>
      <c r="G9" s="1" t="n"/>
      <c r="H9" s="23" t="inlineStr">
        <is>
          <t>Total Expenses</t>
        </is>
      </c>
      <c r="I9" s="21" t="n"/>
      <c r="J9" s="21" t="n"/>
      <c r="K9" s="1" t="n"/>
      <c r="L9" s="23" t="inlineStr">
        <is>
          <t>Net Savings</t>
        </is>
      </c>
      <c r="M9" s="21" t="n"/>
      <c r="N9" s="21" t="n"/>
      <c r="O9" s="1" t="n"/>
      <c r="P9" s="23" t="inlineStr">
        <is>
          <t>Savings Rate</t>
        </is>
      </c>
      <c r="Q9" s="21" t="n"/>
      <c r="R9" s="1" t="n"/>
      <c r="S9" s="1" t="n"/>
      <c r="T9" s="1" t="n"/>
      <c r="U9" s="1" t="n"/>
      <c r="V9" s="1" t="n"/>
      <c r="W9" s="1" t="n"/>
      <c r="X9" s="1" t="n"/>
      <c r="Y9" s="1" t="n"/>
      <c r="Z9" s="1" t="n"/>
      <c r="AA9" s="1" t="n"/>
      <c r="AB9" s="1" t="n"/>
      <c r="AC9" s="1" t="n"/>
      <c r="AH9" t="inlineStr">
        <is>
          <t>Dining Out</t>
        </is>
      </c>
      <c r="AI9" t="n">
        <v>200</v>
      </c>
    </row>
    <row r="10" ht="15.75" customHeight="1">
      <c r="A10" s="1" t="n"/>
      <c r="B10" s="10" t="inlineStr">
        <is>
          <t>Annual Totals</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H12" t="inlineStr">
        <is>
          <t>Month</t>
        </is>
      </c>
      <c r="AI12" t="inlineStr">
        <is>
          <t>Income</t>
        </is>
      </c>
      <c r="AJ12" t="inlineStr">
        <is>
          <t>Expenses</t>
        </is>
      </c>
    </row>
    <row r="13" ht="15.75" customHeight="1">
      <c r="A13" s="1" t="n"/>
      <c r="B13" s="10" t="inlineStr">
        <is>
          <t>January</t>
        </is>
      </c>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H13" t="inlineStr">
        <is>
          <t>Jan</t>
        </is>
      </c>
      <c r="AI13">
        <f>SUM('January'!E8:E12)</f>
        <v/>
      </c>
      <c r="AJ13">
        <f>SUM('January'!E19:E26)+SUM('January'!H33:H62)</f>
        <v/>
      </c>
    </row>
    <row r="14" ht="15.75" customHeight="1">
      <c r="A14" s="1" t="n"/>
      <c r="B14" s="10" t="inlineStr">
        <is>
          <t>February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H14" t="inlineStr">
        <is>
          <t>Feb</t>
        </is>
      </c>
      <c r="AI14">
        <f>SUM('February'!E8:E12)</f>
        <v/>
      </c>
      <c r="AJ14">
        <f>SUM('February'!E19:E26)+SUM('February'!H33:H62)</f>
        <v/>
      </c>
    </row>
    <row r="15" ht="15.75" customHeight="1">
      <c r="A15" s="1" t="n"/>
      <c r="B15" s="10" t="inlineStr">
        <is>
          <t>March</t>
        </is>
      </c>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H15" t="inlineStr">
        <is>
          <t>Mar</t>
        </is>
      </c>
      <c r="AI15">
        <f>SUM('March'!E8:E12)</f>
        <v/>
      </c>
      <c r="AJ15">
        <f>SUM('March'!E19:E26)+SUM('March'!H33:H62)</f>
        <v/>
      </c>
    </row>
    <row r="16" ht="15.75" customHeight="1">
      <c r="A16" s="1" t="n"/>
      <c r="B16" s="10" t="inlineStr">
        <is>
          <t>April</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H16" t="inlineStr">
        <is>
          <t>Apr</t>
        </is>
      </c>
      <c r="AI16">
        <f>SUM('April'!E8:E12)</f>
        <v/>
      </c>
      <c r="AJ16">
        <f>SUM('April'!E19:E26)+SUM('April'!H33:H62)</f>
        <v/>
      </c>
    </row>
    <row r="17" ht="15.75" customHeight="1">
      <c r="A17" s="1" t="n"/>
      <c r="B17" s="10" t="inlineStr">
        <is>
          <t>May</t>
        </is>
      </c>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H17" t="inlineStr">
        <is>
          <t>May</t>
        </is>
      </c>
      <c r="AI17">
        <f>SUM('May'!E8:E12)</f>
        <v/>
      </c>
      <c r="AJ17">
        <f>SUM('May'!E19:E26)+SUM('May'!H33:H62)</f>
        <v/>
      </c>
    </row>
    <row r="18" ht="15.75" customHeight="1">
      <c r="A18" s="1" t="n"/>
      <c r="B18" s="10" t="inlineStr">
        <is>
          <t>June</t>
        </is>
      </c>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H18" t="inlineStr">
        <is>
          <t>Jun</t>
        </is>
      </c>
      <c r="AI18">
        <f>SUM('June'!E8:E12)</f>
        <v/>
      </c>
      <c r="AJ18">
        <f>SUM('June'!E19:E26)+SUM('June'!H33:H62)</f>
        <v/>
      </c>
    </row>
    <row r="19" ht="15.75" customHeight="1">
      <c r="A19" s="1" t="n"/>
      <c r="B19" s="10" t="inlineStr">
        <is>
          <t>July</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H19" t="inlineStr">
        <is>
          <t>Jul</t>
        </is>
      </c>
      <c r="AI19">
        <f>SUM('July'!E8:E12)</f>
        <v/>
      </c>
      <c r="AJ19">
        <f>SUM('July'!E19:E26)+SUM('July'!H33:H62)</f>
        <v/>
      </c>
    </row>
    <row r="20" ht="15.75" customHeight="1">
      <c r="A20" s="1" t="n"/>
      <c r="B20" s="10" t="inlineStr">
        <is>
          <t>August</t>
        </is>
      </c>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H20" t="inlineStr">
        <is>
          <t>Aug</t>
        </is>
      </c>
      <c r="AI20">
        <f>SUM('August'!E8:E12)</f>
        <v/>
      </c>
      <c r="AJ20">
        <f>SUM('August'!E19:E26)+SUM('August'!H33:H62)</f>
        <v/>
      </c>
    </row>
    <row r="21" ht="15.75" customHeight="1">
      <c r="A21" s="1" t="n"/>
      <c r="B21" s="10" t="inlineStr">
        <is>
          <t>September</t>
        </is>
      </c>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H21" t="inlineStr">
        <is>
          <t>Sep</t>
        </is>
      </c>
      <c r="AI21">
        <f>SUM('September'!E8:E12)</f>
        <v/>
      </c>
      <c r="AJ21">
        <f>SUM('September'!E19:E26)+SUM('September'!H33:H62)</f>
        <v/>
      </c>
    </row>
    <row r="22" ht="15.75" customHeight="1">
      <c r="A22" s="1" t="n"/>
      <c r="B22" s="10" t="inlineStr">
        <is>
          <t>October</t>
        </is>
      </c>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H22" t="inlineStr">
        <is>
          <t>Oct</t>
        </is>
      </c>
      <c r="AI22">
        <f>SUM('October'!E8:E12)</f>
        <v/>
      </c>
      <c r="AJ22">
        <f>SUM('October'!E19:E26)+SUM('October'!H33:H62)</f>
        <v/>
      </c>
    </row>
    <row r="23" ht="15.75" customHeight="1">
      <c r="A23" s="1" t="n"/>
      <c r="B23" s="10" t="inlineStr">
        <is>
          <t>November</t>
        </is>
      </c>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H23" t="inlineStr">
        <is>
          <t>Nov</t>
        </is>
      </c>
      <c r="AI23">
        <f>SUM('November'!E8:E12)</f>
        <v/>
      </c>
      <c r="AJ23">
        <f>SUM('November'!E19:E26)+SUM('November'!H33:H62)</f>
        <v/>
      </c>
    </row>
    <row r="24" ht="15.75" customHeight="1">
      <c r="A24" s="1" t="n"/>
      <c r="B24" s="10" t="inlineStr">
        <is>
          <t>December</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H24" t="inlineStr">
        <is>
          <t>Dec</t>
        </is>
      </c>
      <c r="AI24">
        <f>SUM('December'!E8:E12)</f>
        <v/>
      </c>
      <c r="AJ24">
        <f>SUM('December'!E19:E26)+SUM('December'!H33:H62)</f>
        <v/>
      </c>
    </row>
    <row r="25" ht="15.7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H26" t="inlineStr">
        <is>
          <t>Month</t>
        </is>
      </c>
      <c r="AI26" t="inlineStr">
        <is>
          <t>Cumulative Savings</t>
        </is>
      </c>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H27" t="inlineStr">
        <is>
          <t>Jan</t>
        </is>
      </c>
      <c r="AI27">
        <f>AI13-AJ13</f>
        <v/>
      </c>
    </row>
    <row r="28" ht="15.75" customHeight="1">
      <c r="A28" s="1" t="n"/>
      <c r="B28" s="10" t="inlineStr">
        <is>
          <t>Expense Dist</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H28" t="inlineStr">
        <is>
          <t>Feb</t>
        </is>
      </c>
      <c r="AI28">
        <f>AI27+(AI28-AJ28)</f>
        <v/>
      </c>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H29" t="inlineStr">
        <is>
          <t>Mar</t>
        </is>
      </c>
      <c r="AI29">
        <f>AI28+(AI29-AJ29)</f>
        <v/>
      </c>
    </row>
    <row r="30" ht="15.75" customHeight="1">
      <c r="A30" s="1" t="n"/>
      <c r="B30" s="10" t="inlineStr">
        <is>
          <t>Debt Calc</t>
        </is>
      </c>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H30" t="inlineStr">
        <is>
          <t>Apr</t>
        </is>
      </c>
      <c r="AI30">
        <f>AI29+(AI30-AJ30)</f>
        <v/>
      </c>
    </row>
    <row r="31" ht="15.75" customHeight="1">
      <c r="A31" s="1" t="n"/>
      <c r="B31" s="10" t="inlineStr">
        <is>
          <t>Net Worth</t>
        </is>
      </c>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H31" t="inlineStr">
        <is>
          <t>May</t>
        </is>
      </c>
      <c r="AI31">
        <f>AI30+(AI31-AJ31)</f>
        <v/>
      </c>
    </row>
    <row r="32" ht="15.7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H32" t="inlineStr">
        <is>
          <t>Jun</t>
        </is>
      </c>
      <c r="AI32">
        <f>AI31+(AI32-AJ32)</f>
        <v/>
      </c>
    </row>
    <row r="33" ht="15.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H33" t="inlineStr">
        <is>
          <t>Jul</t>
        </is>
      </c>
      <c r="AI33">
        <f>AI32+(AI33-AJ33)</f>
        <v/>
      </c>
    </row>
    <row r="34" ht="15.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H34" t="inlineStr">
        <is>
          <t>Aug</t>
        </is>
      </c>
      <c r="AI34">
        <f>AI33+(AI34-AJ34)</f>
        <v/>
      </c>
    </row>
    <row r="35" ht="15.7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H35" t="inlineStr">
        <is>
          <t>Sep</t>
        </is>
      </c>
      <c r="AI35">
        <f>AI34+(AI35-AJ35)</f>
        <v/>
      </c>
    </row>
    <row r="36" ht="15.7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H36" t="inlineStr">
        <is>
          <t>Oct</t>
        </is>
      </c>
      <c r="AI36">
        <f>AI35+(AI36-AJ36)</f>
        <v/>
      </c>
    </row>
    <row r="37" ht="15.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H37" t="inlineStr">
        <is>
          <t>Nov</t>
        </is>
      </c>
      <c r="AI37">
        <f>AI36+(AI37-AJ37)</f>
        <v/>
      </c>
    </row>
    <row r="38" ht="15.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H38" t="inlineStr">
        <is>
          <t>Dec</t>
        </is>
      </c>
      <c r="AI38">
        <f>AI37+(AI38-AJ38)</f>
        <v/>
      </c>
    </row>
    <row r="39" ht="15.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mergeCells count="9">
    <mergeCell ref="H7:J8"/>
    <mergeCell ref="P9:Q9"/>
    <mergeCell ref="L7:N8"/>
    <mergeCell ref="P7:Q8"/>
    <mergeCell ref="L9:N9"/>
    <mergeCell ref="D9:F9"/>
    <mergeCell ref="H9:J9"/>
    <mergeCell ref="D5:Q5"/>
    <mergeCell ref="D7:F8"/>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drawing xmlns:r="http://schemas.openxmlformats.org/officeDocument/2006/relationships" r:id="rId22"/>
</worksheet>
</file>

<file path=xl/worksheets/sheet4.xml><?xml version="1.0" encoding="utf-8"?>
<worksheet xmlns="http://schemas.openxmlformats.org/spreadsheetml/2006/main">
  <sheetPr>
    <tabColor rgb="00768975"/>
    <outlinePr summaryBelow="1" summaryRight="1"/>
    <pageSetUpPr/>
  </sheetPr>
  <dimension ref="A1:AC79"/>
  <sheetViews>
    <sheetView showGridLines="0" workbookViewId="0">
      <selection activeCell="A1" sqref="A1"/>
    </sheetView>
  </sheetViews>
  <sheetFormatPr baseColWidth="8" defaultRowHeight="15"/>
  <cols>
    <col width="3.25" customWidth="1" min="1" max="1"/>
    <col width="18.88" customWidth="1" min="2" max="2"/>
    <col width="3.25"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ANNUAL BUDGET SUMMARY</t>
        </is>
      </c>
      <c r="E5" s="6" t="n"/>
      <c r="F5" s="6" t="n"/>
      <c r="G5" s="6" t="n"/>
      <c r="H5" s="6" t="n"/>
      <c r="I5" s="6" t="n"/>
      <c r="J5" s="6" t="n"/>
      <c r="K5" s="6" t="n"/>
      <c r="L5" s="6" t="n"/>
      <c r="M5" s="6" t="n"/>
      <c r="N5" s="6" t="n"/>
      <c r="O5" s="6" t="n"/>
      <c r="P5" s="6" t="n"/>
      <c r="Q5" s="6"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Category</t>
        </is>
      </c>
      <c r="E7" s="14" t="inlineStr">
        <is>
          <t>Jan</t>
        </is>
      </c>
      <c r="F7" s="14" t="inlineStr">
        <is>
          <t>Feb</t>
        </is>
      </c>
      <c r="G7" s="14" t="inlineStr">
        <is>
          <t>Mar</t>
        </is>
      </c>
      <c r="H7" s="14" t="inlineStr">
        <is>
          <t>Apr</t>
        </is>
      </c>
      <c r="I7" s="14" t="inlineStr">
        <is>
          <t>May</t>
        </is>
      </c>
      <c r="J7" s="14" t="inlineStr">
        <is>
          <t>Jun</t>
        </is>
      </c>
      <c r="K7" s="14" t="inlineStr">
        <is>
          <t>Jul</t>
        </is>
      </c>
      <c r="L7" s="14" t="inlineStr">
        <is>
          <t>Aug</t>
        </is>
      </c>
      <c r="M7" s="14" t="inlineStr">
        <is>
          <t>Sep</t>
        </is>
      </c>
      <c r="N7" s="14" t="inlineStr">
        <is>
          <t>Oct</t>
        </is>
      </c>
      <c r="O7" s="14" t="inlineStr">
        <is>
          <t>Nov</t>
        </is>
      </c>
      <c r="P7" s="14" t="inlineStr">
        <is>
          <t>Dec</t>
        </is>
      </c>
      <c r="Q7" s="14" t="inlineStr">
        <is>
          <t>TOTAL</t>
        </is>
      </c>
      <c r="R7" s="1" t="n"/>
      <c r="S7" s="1" t="n"/>
      <c r="T7" s="1" t="n"/>
      <c r="U7" s="1" t="n"/>
      <c r="V7" s="1" t="n"/>
      <c r="W7" s="1" t="n"/>
      <c r="X7" s="1" t="n"/>
      <c r="Y7" s="1" t="n"/>
      <c r="Z7" s="1" t="n"/>
      <c r="AA7" s="1" t="n"/>
      <c r="AB7" s="1" t="n"/>
      <c r="AC7" s="1" t="n"/>
    </row>
    <row r="8" ht="15.75" customHeight="1">
      <c r="A8" s="1" t="n"/>
      <c r="B8" s="9" t="inlineStr">
        <is>
          <t>DASHBOARDS</t>
        </is>
      </c>
      <c r="C8" s="1" t="n"/>
      <c r="D8" s="13" t="inlineStr">
        <is>
          <t>Housing</t>
        </is>
      </c>
      <c r="E8" s="13">
        <f>SUMIF('January'!D19:D26,D8,'January'!E19:E26)</f>
        <v/>
      </c>
      <c r="F8" s="13">
        <f>SUMIF('February'!D19:D26,D8,'February'!E19:E26)</f>
        <v/>
      </c>
      <c r="G8" s="13">
        <f>SUMIF('March'!D19:D26,D8,'March'!E19:E26)</f>
        <v/>
      </c>
      <c r="H8" s="13">
        <f>SUMIF('April'!D19:D26,D8,'April'!E19:E26)</f>
        <v/>
      </c>
      <c r="I8" s="13">
        <f>SUMIF('May'!D19:D26,D8,'May'!E19:E26)</f>
        <v/>
      </c>
      <c r="J8" s="13">
        <f>SUMIF('June'!D19:D26,D8,'June'!E19:E26)</f>
        <v/>
      </c>
      <c r="K8" s="13">
        <f>SUMIF('July'!D19:D26,D8,'July'!E19:E26)</f>
        <v/>
      </c>
      <c r="L8" s="13">
        <f>SUMIF('August'!D19:D26,D8,'August'!E19:E26)</f>
        <v/>
      </c>
      <c r="M8" s="13">
        <f>SUMIF('September'!D19:D26,D8,'September'!E19:E26)</f>
        <v/>
      </c>
      <c r="N8" s="13">
        <f>SUMIF('October'!D19:D26,D8,'October'!E19:E26)</f>
        <v/>
      </c>
      <c r="O8" s="13">
        <f>SUMIF('November'!D19:D26,D8,'November'!E19:E26)</f>
        <v/>
      </c>
      <c r="P8" s="13">
        <f>SUMIF('December'!D19:D26,D8,'December'!E19:E26)</f>
        <v/>
      </c>
      <c r="Q8" s="12">
        <f>SUM(E8:P8)</f>
        <v/>
      </c>
      <c r="R8" s="1" t="n"/>
      <c r="S8" s="1" t="n"/>
      <c r="T8" s="1" t="n"/>
      <c r="U8" s="1" t="n"/>
      <c r="V8" s="1" t="n"/>
      <c r="W8" s="1" t="n"/>
      <c r="X8" s="1" t="n"/>
      <c r="Y8" s="1" t="n"/>
      <c r="Z8" s="1" t="n"/>
      <c r="AA8" s="1" t="n"/>
      <c r="AB8" s="1" t="n"/>
      <c r="AC8" s="1" t="n"/>
    </row>
    <row r="9" ht="15.75" customHeight="1">
      <c r="A9" s="1" t="n"/>
      <c r="B9" s="10" t="inlineStr">
        <is>
          <t>All-in-One Dashboard</t>
        </is>
      </c>
      <c r="C9" s="1" t="n"/>
      <c r="D9" s="16" t="inlineStr">
        <is>
          <t>Utilities</t>
        </is>
      </c>
      <c r="E9" s="16">
        <f>SUMIF('January'!D19:D26,D9,'January'!E19:E26)</f>
        <v/>
      </c>
      <c r="F9" s="16">
        <f>SUMIF('February'!D19:D26,D9,'February'!E19:E26)</f>
        <v/>
      </c>
      <c r="G9" s="16">
        <f>SUMIF('March'!D19:D26,D9,'March'!E19:E26)</f>
        <v/>
      </c>
      <c r="H9" s="16">
        <f>SUMIF('April'!D19:D26,D9,'April'!E19:E26)</f>
        <v/>
      </c>
      <c r="I9" s="16">
        <f>SUMIF('May'!D19:D26,D9,'May'!E19:E26)</f>
        <v/>
      </c>
      <c r="J9" s="16">
        <f>SUMIF('June'!D19:D26,D9,'June'!E19:E26)</f>
        <v/>
      </c>
      <c r="K9" s="16">
        <f>SUMIF('July'!D19:D26,D9,'July'!E19:E26)</f>
        <v/>
      </c>
      <c r="L9" s="16">
        <f>SUMIF('August'!D19:D26,D9,'August'!E19:E26)</f>
        <v/>
      </c>
      <c r="M9" s="16">
        <f>SUMIF('September'!D19:D26,D9,'September'!E19:E26)</f>
        <v/>
      </c>
      <c r="N9" s="16">
        <f>SUMIF('October'!D19:D26,D9,'October'!E19:E26)</f>
        <v/>
      </c>
      <c r="O9" s="16">
        <f>SUMIF('November'!D19:D26,D9,'November'!E19:E26)</f>
        <v/>
      </c>
      <c r="P9" s="16">
        <f>SUMIF('December'!D19:D26,D9,'December'!E19:E26)</f>
        <v/>
      </c>
      <c r="Q9" s="24">
        <f>SUM(E9:P9)</f>
        <v/>
      </c>
      <c r="R9" s="1" t="n"/>
      <c r="S9" s="1" t="n"/>
      <c r="T9" s="1" t="n"/>
      <c r="U9" s="1" t="n"/>
      <c r="V9" s="1" t="n"/>
      <c r="W9" s="1" t="n"/>
      <c r="X9" s="1" t="n"/>
      <c r="Y9" s="1" t="n"/>
      <c r="Z9" s="1" t="n"/>
      <c r="AA9" s="1" t="n"/>
      <c r="AB9" s="1" t="n"/>
      <c r="AC9" s="1" t="n"/>
    </row>
    <row r="10" ht="15.75" customHeight="1">
      <c r="A10" s="1" t="n"/>
      <c r="B10" s="11" t="inlineStr">
        <is>
          <t>Annual Totals</t>
        </is>
      </c>
      <c r="C10" s="1" t="n"/>
      <c r="D10" s="13" t="inlineStr">
        <is>
          <t>Groceries</t>
        </is>
      </c>
      <c r="E10" s="13">
        <f>SUMIF('January'!D19:D26,D10,'January'!E19:E26)</f>
        <v/>
      </c>
      <c r="F10" s="13">
        <f>SUMIF('February'!D19:D26,D10,'February'!E19:E26)</f>
        <v/>
      </c>
      <c r="G10" s="13">
        <f>SUMIF('March'!D19:D26,D10,'March'!E19:E26)</f>
        <v/>
      </c>
      <c r="H10" s="13">
        <f>SUMIF('April'!D19:D26,D10,'April'!E19:E26)</f>
        <v/>
      </c>
      <c r="I10" s="13">
        <f>SUMIF('May'!D19:D26,D10,'May'!E19:E26)</f>
        <v/>
      </c>
      <c r="J10" s="13">
        <f>SUMIF('June'!D19:D26,D10,'June'!E19:E26)</f>
        <v/>
      </c>
      <c r="K10" s="13">
        <f>SUMIF('July'!D19:D26,D10,'July'!E19:E26)</f>
        <v/>
      </c>
      <c r="L10" s="13">
        <f>SUMIF('August'!D19:D26,D10,'August'!E19:E26)</f>
        <v/>
      </c>
      <c r="M10" s="13">
        <f>SUMIF('September'!D19:D26,D10,'September'!E19:E26)</f>
        <v/>
      </c>
      <c r="N10" s="13">
        <f>SUMIF('October'!D19:D26,D10,'October'!E19:E26)</f>
        <v/>
      </c>
      <c r="O10" s="13">
        <f>SUMIF('November'!D19:D26,D10,'November'!E19:E26)</f>
        <v/>
      </c>
      <c r="P10" s="13">
        <f>SUMIF('December'!D19:D26,D10,'December'!E19:E26)</f>
        <v/>
      </c>
      <c r="Q10" s="12">
        <f>SUM(E10:P10)</f>
        <v/>
      </c>
      <c r="R10" s="1" t="n"/>
      <c r="S10" s="1" t="n"/>
      <c r="T10" s="1" t="n"/>
      <c r="U10" s="1" t="n"/>
      <c r="V10" s="1" t="n"/>
      <c r="W10" s="1" t="n"/>
      <c r="X10" s="1" t="n"/>
      <c r="Y10" s="1" t="n"/>
      <c r="Z10" s="1" t="n"/>
      <c r="AA10" s="1" t="n"/>
      <c r="AB10" s="1" t="n"/>
      <c r="AC10" s="1" t="n"/>
    </row>
    <row r="11" ht="15.75" customHeight="1">
      <c r="A11" s="1" t="n"/>
      <c r="B11" s="1" t="n"/>
      <c r="C11" s="1" t="n"/>
      <c r="D11" s="16" t="inlineStr">
        <is>
          <t>Transportation</t>
        </is>
      </c>
      <c r="E11" s="16">
        <f>SUMIF('January'!D19:D26,D11,'January'!E19:E26)</f>
        <v/>
      </c>
      <c r="F11" s="16">
        <f>SUMIF('February'!D19:D26,D11,'February'!E19:E26)</f>
        <v/>
      </c>
      <c r="G11" s="16">
        <f>SUMIF('March'!D19:D26,D11,'March'!E19:E26)</f>
        <v/>
      </c>
      <c r="H11" s="16">
        <f>SUMIF('April'!D19:D26,D11,'April'!E19:E26)</f>
        <v/>
      </c>
      <c r="I11" s="16">
        <f>SUMIF('May'!D19:D26,D11,'May'!E19:E26)</f>
        <v/>
      </c>
      <c r="J11" s="16">
        <f>SUMIF('June'!D19:D26,D11,'June'!E19:E26)</f>
        <v/>
      </c>
      <c r="K11" s="16">
        <f>SUMIF('July'!D19:D26,D11,'July'!E19:E26)</f>
        <v/>
      </c>
      <c r="L11" s="16">
        <f>SUMIF('August'!D19:D26,D11,'August'!E19:E26)</f>
        <v/>
      </c>
      <c r="M11" s="16">
        <f>SUMIF('September'!D19:D26,D11,'September'!E19:E26)</f>
        <v/>
      </c>
      <c r="N11" s="16">
        <f>SUMIF('October'!D19:D26,D11,'October'!E19:E26)</f>
        <v/>
      </c>
      <c r="O11" s="16">
        <f>SUMIF('November'!D19:D26,D11,'November'!E19:E26)</f>
        <v/>
      </c>
      <c r="P11" s="16">
        <f>SUMIF('December'!D19:D26,D11,'December'!E19:E26)</f>
        <v/>
      </c>
      <c r="Q11" s="24">
        <f>SUM(E11:P11)</f>
        <v/>
      </c>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is>
          <t>Insurance</t>
        </is>
      </c>
      <c r="E12" s="13">
        <f>SUMIF('January'!D19:D26,D12,'January'!E19:E26)</f>
        <v/>
      </c>
      <c r="F12" s="13">
        <f>SUMIF('February'!D19:D26,D12,'February'!E19:E26)</f>
        <v/>
      </c>
      <c r="G12" s="13">
        <f>SUMIF('March'!D19:D26,D12,'March'!E19:E26)</f>
        <v/>
      </c>
      <c r="H12" s="13">
        <f>SUMIF('April'!D19:D26,D12,'April'!E19:E26)</f>
        <v/>
      </c>
      <c r="I12" s="13">
        <f>SUMIF('May'!D19:D26,D12,'May'!E19:E26)</f>
        <v/>
      </c>
      <c r="J12" s="13">
        <f>SUMIF('June'!D19:D26,D12,'June'!E19:E26)</f>
        <v/>
      </c>
      <c r="K12" s="13">
        <f>SUMIF('July'!D19:D26,D12,'July'!E19:E26)</f>
        <v/>
      </c>
      <c r="L12" s="13">
        <f>SUMIF('August'!D19:D26,D12,'August'!E19:E26)</f>
        <v/>
      </c>
      <c r="M12" s="13">
        <f>SUMIF('September'!D19:D26,D12,'September'!E19:E26)</f>
        <v/>
      </c>
      <c r="N12" s="13">
        <f>SUMIF('October'!D19:D26,D12,'October'!E19:E26)</f>
        <v/>
      </c>
      <c r="O12" s="13">
        <f>SUMIF('November'!D19:D26,D12,'November'!E19:E26)</f>
        <v/>
      </c>
      <c r="P12" s="13">
        <f>SUMIF('December'!D19:D26,D12,'December'!E19:E26)</f>
        <v/>
      </c>
      <c r="Q12" s="12">
        <f>SUM(E12:P12)</f>
        <v/>
      </c>
      <c r="R12" s="1" t="n"/>
      <c r="S12" s="1" t="n"/>
      <c r="T12" s="1" t="n"/>
      <c r="U12" s="1" t="n"/>
      <c r="V12" s="1" t="n"/>
      <c r="W12" s="1" t="n"/>
      <c r="X12" s="1" t="n"/>
      <c r="Y12" s="1" t="n"/>
      <c r="Z12" s="1" t="n"/>
      <c r="AA12" s="1" t="n"/>
      <c r="AB12" s="1" t="n"/>
      <c r="AC12" s="1" t="n"/>
    </row>
    <row r="13" ht="15.75" customHeight="1">
      <c r="A13" s="1" t="n"/>
      <c r="B13" s="10" t="inlineStr">
        <is>
          <t>January</t>
        </is>
      </c>
      <c r="C13" s="1" t="n"/>
      <c r="D13" s="16" t="inlineStr">
        <is>
          <t>Healthcare</t>
        </is>
      </c>
      <c r="E13" s="16">
        <f>SUMIF('January'!D19:D26,D13,'January'!E19:E26)</f>
        <v/>
      </c>
      <c r="F13" s="16">
        <f>SUMIF('February'!D19:D26,D13,'February'!E19:E26)</f>
        <v/>
      </c>
      <c r="G13" s="16">
        <f>SUMIF('March'!D19:D26,D13,'March'!E19:E26)</f>
        <v/>
      </c>
      <c r="H13" s="16">
        <f>SUMIF('April'!D19:D26,D13,'April'!E19:E26)</f>
        <v/>
      </c>
      <c r="I13" s="16">
        <f>SUMIF('May'!D19:D26,D13,'May'!E19:E26)</f>
        <v/>
      </c>
      <c r="J13" s="16">
        <f>SUMIF('June'!D19:D26,D13,'June'!E19:E26)</f>
        <v/>
      </c>
      <c r="K13" s="16">
        <f>SUMIF('July'!D19:D26,D13,'July'!E19:E26)</f>
        <v/>
      </c>
      <c r="L13" s="16">
        <f>SUMIF('August'!D19:D26,D13,'August'!E19:E26)</f>
        <v/>
      </c>
      <c r="M13" s="16">
        <f>SUMIF('September'!D19:D26,D13,'September'!E19:E26)</f>
        <v/>
      </c>
      <c r="N13" s="16">
        <f>SUMIF('October'!D19:D26,D13,'October'!E19:E26)</f>
        <v/>
      </c>
      <c r="O13" s="16">
        <f>SUMIF('November'!D19:D26,D13,'November'!E19:E26)</f>
        <v/>
      </c>
      <c r="P13" s="16">
        <f>SUMIF('December'!D19:D26,D13,'December'!E19:E26)</f>
        <v/>
      </c>
      <c r="Q13" s="24">
        <f>SUM(E13:P13)</f>
        <v/>
      </c>
      <c r="R13" s="1" t="n"/>
      <c r="S13" s="1" t="n"/>
      <c r="T13" s="1" t="n"/>
      <c r="U13" s="1" t="n"/>
      <c r="V13" s="1" t="n"/>
      <c r="W13" s="1" t="n"/>
      <c r="X13" s="1" t="n"/>
      <c r="Y13" s="1" t="n"/>
      <c r="Z13" s="1" t="n"/>
      <c r="AA13" s="1" t="n"/>
      <c r="AB13" s="1" t="n"/>
      <c r="AC13" s="1" t="n"/>
    </row>
    <row r="14" ht="15.75" customHeight="1">
      <c r="A14" s="1" t="n"/>
      <c r="B14" s="10" t="inlineStr">
        <is>
          <t>February</t>
        </is>
      </c>
      <c r="C14" s="1" t="n"/>
      <c r="D14" s="13" t="inlineStr">
        <is>
          <t>Entertainment</t>
        </is>
      </c>
      <c r="E14" s="13">
        <f>SUMIF('January'!D19:D26,D14,'January'!E19:E26)</f>
        <v/>
      </c>
      <c r="F14" s="13">
        <f>SUMIF('February'!D19:D26,D14,'February'!E19:E26)</f>
        <v/>
      </c>
      <c r="G14" s="13">
        <f>SUMIF('March'!D19:D26,D14,'March'!E19:E26)</f>
        <v/>
      </c>
      <c r="H14" s="13">
        <f>SUMIF('April'!D19:D26,D14,'April'!E19:E26)</f>
        <v/>
      </c>
      <c r="I14" s="13">
        <f>SUMIF('May'!D19:D26,D14,'May'!E19:E26)</f>
        <v/>
      </c>
      <c r="J14" s="13">
        <f>SUMIF('June'!D19:D26,D14,'June'!E19:E26)</f>
        <v/>
      </c>
      <c r="K14" s="13">
        <f>SUMIF('July'!D19:D26,D14,'July'!E19:E26)</f>
        <v/>
      </c>
      <c r="L14" s="13">
        <f>SUMIF('August'!D19:D26,D14,'August'!E19:E26)</f>
        <v/>
      </c>
      <c r="M14" s="13">
        <f>SUMIF('September'!D19:D26,D14,'September'!E19:E26)</f>
        <v/>
      </c>
      <c r="N14" s="13">
        <f>SUMIF('October'!D19:D26,D14,'October'!E19:E26)</f>
        <v/>
      </c>
      <c r="O14" s="13">
        <f>SUMIF('November'!D19:D26,D14,'November'!E19:E26)</f>
        <v/>
      </c>
      <c r="P14" s="13">
        <f>SUMIF('December'!D19:D26,D14,'December'!E19:E26)</f>
        <v/>
      </c>
      <c r="Q14" s="12">
        <f>SUM(E14:P14)</f>
        <v/>
      </c>
      <c r="R14" s="1" t="n"/>
      <c r="S14" s="1" t="n"/>
      <c r="T14" s="1" t="n"/>
      <c r="U14" s="1" t="n"/>
      <c r="V14" s="1" t="n"/>
      <c r="W14" s="1" t="n"/>
      <c r="X14" s="1" t="n"/>
      <c r="Y14" s="1" t="n"/>
      <c r="Z14" s="1" t="n"/>
      <c r="AA14" s="1" t="n"/>
      <c r="AB14" s="1" t="n"/>
      <c r="AC14" s="1" t="n"/>
    </row>
    <row r="15" ht="15.75" customHeight="1">
      <c r="A15" s="1" t="n"/>
      <c r="B15" s="10" t="inlineStr">
        <is>
          <t>March</t>
        </is>
      </c>
      <c r="C15" s="1" t="n"/>
      <c r="D15" s="16" t="inlineStr">
        <is>
          <t>Dining Out</t>
        </is>
      </c>
      <c r="E15" s="16">
        <f>SUMIF('January'!D19:D26,D15,'January'!E19:E26)</f>
        <v/>
      </c>
      <c r="F15" s="16">
        <f>SUMIF('February'!D19:D26,D15,'February'!E19:E26)</f>
        <v/>
      </c>
      <c r="G15" s="16">
        <f>SUMIF('March'!D19:D26,D15,'March'!E19:E26)</f>
        <v/>
      </c>
      <c r="H15" s="16">
        <f>SUMIF('April'!D19:D26,D15,'April'!E19:E26)</f>
        <v/>
      </c>
      <c r="I15" s="16">
        <f>SUMIF('May'!D19:D26,D15,'May'!E19:E26)</f>
        <v/>
      </c>
      <c r="J15" s="16">
        <f>SUMIF('June'!D19:D26,D15,'June'!E19:E26)</f>
        <v/>
      </c>
      <c r="K15" s="16">
        <f>SUMIF('July'!D19:D26,D15,'July'!E19:E26)</f>
        <v/>
      </c>
      <c r="L15" s="16">
        <f>SUMIF('August'!D19:D26,D15,'August'!E19:E26)</f>
        <v/>
      </c>
      <c r="M15" s="16">
        <f>SUMIF('September'!D19:D26,D15,'September'!E19:E26)</f>
        <v/>
      </c>
      <c r="N15" s="16">
        <f>SUMIF('October'!D19:D26,D15,'October'!E19:E26)</f>
        <v/>
      </c>
      <c r="O15" s="16">
        <f>SUMIF('November'!D19:D26,D15,'November'!E19:E26)</f>
        <v/>
      </c>
      <c r="P15" s="16">
        <f>SUMIF('December'!D19:D26,D15,'December'!E19:E26)</f>
        <v/>
      </c>
      <c r="Q15" s="24">
        <f>SUM(E15:P15)</f>
        <v/>
      </c>
      <c r="R15" s="1" t="n"/>
      <c r="S15" s="1" t="n"/>
      <c r="T15" s="1" t="n"/>
      <c r="U15" s="1" t="n"/>
      <c r="V15" s="1" t="n"/>
      <c r="W15" s="1" t="n"/>
      <c r="X15" s="1" t="n"/>
      <c r="Y15" s="1" t="n"/>
      <c r="Z15" s="1" t="n"/>
      <c r="AA15" s="1" t="n"/>
      <c r="AB15" s="1" t="n"/>
      <c r="AC15" s="1" t="n"/>
    </row>
    <row r="16" ht="15.75" customHeight="1">
      <c r="A16" s="1" t="n"/>
      <c r="B16" s="10" t="inlineStr">
        <is>
          <t>April</t>
        </is>
      </c>
      <c r="C16" s="1" t="n"/>
      <c r="D16" s="13" t="inlineStr">
        <is>
          <t>Shopping</t>
        </is>
      </c>
      <c r="E16" s="13">
        <f>SUMIF('January'!D19:D26,D16,'January'!E19:E26)</f>
        <v/>
      </c>
      <c r="F16" s="13">
        <f>SUMIF('February'!D19:D26,D16,'February'!E19:E26)</f>
        <v/>
      </c>
      <c r="G16" s="13">
        <f>SUMIF('March'!D19:D26,D16,'March'!E19:E26)</f>
        <v/>
      </c>
      <c r="H16" s="13">
        <f>SUMIF('April'!D19:D26,D16,'April'!E19:E26)</f>
        <v/>
      </c>
      <c r="I16" s="13">
        <f>SUMIF('May'!D19:D26,D16,'May'!E19:E26)</f>
        <v/>
      </c>
      <c r="J16" s="13">
        <f>SUMIF('June'!D19:D26,D16,'June'!E19:E26)</f>
        <v/>
      </c>
      <c r="K16" s="13">
        <f>SUMIF('July'!D19:D26,D16,'July'!E19:E26)</f>
        <v/>
      </c>
      <c r="L16" s="13">
        <f>SUMIF('August'!D19:D26,D16,'August'!E19:E26)</f>
        <v/>
      </c>
      <c r="M16" s="13">
        <f>SUMIF('September'!D19:D26,D16,'September'!E19:E26)</f>
        <v/>
      </c>
      <c r="N16" s="13">
        <f>SUMIF('October'!D19:D26,D16,'October'!E19:E26)</f>
        <v/>
      </c>
      <c r="O16" s="13">
        <f>SUMIF('November'!D19:D26,D16,'November'!E19:E26)</f>
        <v/>
      </c>
      <c r="P16" s="13">
        <f>SUMIF('December'!D19:D26,D16,'December'!E19:E26)</f>
        <v/>
      </c>
      <c r="Q16" s="12">
        <f>SUM(E16:P16)</f>
        <v/>
      </c>
      <c r="R16" s="1" t="n"/>
      <c r="S16" s="1" t="n"/>
      <c r="T16" s="1" t="n"/>
      <c r="U16" s="1" t="n"/>
      <c r="V16" s="1" t="n"/>
      <c r="W16" s="1" t="n"/>
      <c r="X16" s="1" t="n"/>
      <c r="Y16" s="1" t="n"/>
      <c r="Z16" s="1" t="n"/>
      <c r="AA16" s="1" t="n"/>
      <c r="AB16" s="1" t="n"/>
      <c r="AC16" s="1" t="n"/>
    </row>
    <row r="17" ht="15.75" customHeight="1">
      <c r="A17" s="1" t="n"/>
      <c r="B17" s="10" t="inlineStr">
        <is>
          <t>May</t>
        </is>
      </c>
      <c r="C17" s="1" t="n"/>
      <c r="D17" s="16" t="inlineStr">
        <is>
          <t>Subscriptions</t>
        </is>
      </c>
      <c r="E17" s="16">
        <f>SUMIF('January'!D19:D26,D17,'January'!E19:E26)</f>
        <v/>
      </c>
      <c r="F17" s="16">
        <f>SUMIF('February'!D19:D26,D17,'February'!E19:E26)</f>
        <v/>
      </c>
      <c r="G17" s="16">
        <f>SUMIF('March'!D19:D26,D17,'March'!E19:E26)</f>
        <v/>
      </c>
      <c r="H17" s="16">
        <f>SUMIF('April'!D19:D26,D17,'April'!E19:E26)</f>
        <v/>
      </c>
      <c r="I17" s="16">
        <f>SUMIF('May'!D19:D26,D17,'May'!E19:E26)</f>
        <v/>
      </c>
      <c r="J17" s="16">
        <f>SUMIF('June'!D19:D26,D17,'June'!E19:E26)</f>
        <v/>
      </c>
      <c r="K17" s="16">
        <f>SUMIF('July'!D19:D26,D17,'July'!E19:E26)</f>
        <v/>
      </c>
      <c r="L17" s="16">
        <f>SUMIF('August'!D19:D26,D17,'August'!E19:E26)</f>
        <v/>
      </c>
      <c r="M17" s="16">
        <f>SUMIF('September'!D19:D26,D17,'September'!E19:E26)</f>
        <v/>
      </c>
      <c r="N17" s="16">
        <f>SUMIF('October'!D19:D26,D17,'October'!E19:E26)</f>
        <v/>
      </c>
      <c r="O17" s="16">
        <f>SUMIF('November'!D19:D26,D17,'November'!E19:E26)</f>
        <v/>
      </c>
      <c r="P17" s="16">
        <f>SUMIF('December'!D19:D26,D17,'December'!E19:E26)</f>
        <v/>
      </c>
      <c r="Q17" s="24">
        <f>SUM(E17:P17)</f>
        <v/>
      </c>
      <c r="R17" s="1" t="n"/>
      <c r="S17" s="1" t="n"/>
      <c r="T17" s="1" t="n"/>
      <c r="U17" s="1" t="n"/>
      <c r="V17" s="1" t="n"/>
      <c r="W17" s="1" t="n"/>
      <c r="X17" s="1" t="n"/>
      <c r="Y17" s="1" t="n"/>
      <c r="Z17" s="1" t="n"/>
      <c r="AA17" s="1" t="n"/>
      <c r="AB17" s="1" t="n"/>
      <c r="AC17" s="1" t="n"/>
    </row>
    <row r="18" ht="15.75" customHeight="1">
      <c r="A18" s="1" t="n"/>
      <c r="B18" s="10" t="inlineStr">
        <is>
          <t>June</t>
        </is>
      </c>
      <c r="C18" s="1" t="n"/>
      <c r="D18" s="13" t="inlineStr">
        <is>
          <t>Savings</t>
        </is>
      </c>
      <c r="E18" s="13">
        <f>SUMIF('January'!D19:D26,D18,'January'!E19:E26)</f>
        <v/>
      </c>
      <c r="F18" s="13">
        <f>SUMIF('February'!D19:D26,D18,'February'!E19:E26)</f>
        <v/>
      </c>
      <c r="G18" s="13">
        <f>SUMIF('March'!D19:D26,D18,'March'!E19:E26)</f>
        <v/>
      </c>
      <c r="H18" s="13">
        <f>SUMIF('April'!D19:D26,D18,'April'!E19:E26)</f>
        <v/>
      </c>
      <c r="I18" s="13">
        <f>SUMIF('May'!D19:D26,D18,'May'!E19:E26)</f>
        <v/>
      </c>
      <c r="J18" s="13">
        <f>SUMIF('June'!D19:D26,D18,'June'!E19:E26)</f>
        <v/>
      </c>
      <c r="K18" s="13">
        <f>SUMIF('July'!D19:D26,D18,'July'!E19:E26)</f>
        <v/>
      </c>
      <c r="L18" s="13">
        <f>SUMIF('August'!D19:D26,D18,'August'!E19:E26)</f>
        <v/>
      </c>
      <c r="M18" s="13">
        <f>SUMIF('September'!D19:D26,D18,'September'!E19:E26)</f>
        <v/>
      </c>
      <c r="N18" s="13">
        <f>SUMIF('October'!D19:D26,D18,'October'!E19:E26)</f>
        <v/>
      </c>
      <c r="O18" s="13">
        <f>SUMIF('November'!D19:D26,D18,'November'!E19:E26)</f>
        <v/>
      </c>
      <c r="P18" s="13">
        <f>SUMIF('December'!D19:D26,D18,'December'!E19:E26)</f>
        <v/>
      </c>
      <c r="Q18" s="12">
        <f>SUM(E18:P18)</f>
        <v/>
      </c>
      <c r="R18" s="1" t="n"/>
      <c r="S18" s="1" t="n"/>
      <c r="T18" s="1" t="n"/>
      <c r="U18" s="1" t="n"/>
      <c r="V18" s="1" t="n"/>
      <c r="W18" s="1" t="n"/>
      <c r="X18" s="1" t="n"/>
      <c r="Y18" s="1" t="n"/>
      <c r="Z18" s="1" t="n"/>
      <c r="AA18" s="1" t="n"/>
      <c r="AB18" s="1" t="n"/>
      <c r="AC18" s="1" t="n"/>
    </row>
    <row r="19" ht="15.75" customHeight="1">
      <c r="A19" s="1" t="n"/>
      <c r="B19" s="10" t="inlineStr">
        <is>
          <t>July</t>
        </is>
      </c>
      <c r="C19" s="1" t="n"/>
      <c r="D19" s="16" t="inlineStr">
        <is>
          <t>Debt Payments</t>
        </is>
      </c>
      <c r="E19" s="16">
        <f>SUMIF('January'!D19:D26,D19,'January'!E19:E26)</f>
        <v/>
      </c>
      <c r="F19" s="16">
        <f>SUMIF('February'!D19:D26,D19,'February'!E19:E26)</f>
        <v/>
      </c>
      <c r="G19" s="16">
        <f>SUMIF('March'!D19:D26,D19,'March'!E19:E26)</f>
        <v/>
      </c>
      <c r="H19" s="16">
        <f>SUMIF('April'!D19:D26,D19,'April'!E19:E26)</f>
        <v/>
      </c>
      <c r="I19" s="16">
        <f>SUMIF('May'!D19:D26,D19,'May'!E19:E26)</f>
        <v/>
      </c>
      <c r="J19" s="16">
        <f>SUMIF('June'!D19:D26,D19,'June'!E19:E26)</f>
        <v/>
      </c>
      <c r="K19" s="16">
        <f>SUMIF('July'!D19:D26,D19,'July'!E19:E26)</f>
        <v/>
      </c>
      <c r="L19" s="16">
        <f>SUMIF('August'!D19:D26,D19,'August'!E19:E26)</f>
        <v/>
      </c>
      <c r="M19" s="16">
        <f>SUMIF('September'!D19:D26,D19,'September'!E19:E26)</f>
        <v/>
      </c>
      <c r="N19" s="16">
        <f>SUMIF('October'!D19:D26,D19,'October'!E19:E26)</f>
        <v/>
      </c>
      <c r="O19" s="16">
        <f>SUMIF('November'!D19:D26,D19,'November'!E19:E26)</f>
        <v/>
      </c>
      <c r="P19" s="16">
        <f>SUMIF('December'!D19:D26,D19,'December'!E19:E26)</f>
        <v/>
      </c>
      <c r="Q19" s="24">
        <f>SUM(E19:P19)</f>
        <v/>
      </c>
      <c r="R19" s="1" t="n"/>
      <c r="S19" s="1" t="n"/>
      <c r="T19" s="1" t="n"/>
      <c r="U19" s="1" t="n"/>
      <c r="V19" s="1" t="n"/>
      <c r="W19" s="1" t="n"/>
      <c r="X19" s="1" t="n"/>
      <c r="Y19" s="1" t="n"/>
      <c r="Z19" s="1" t="n"/>
      <c r="AA19" s="1" t="n"/>
      <c r="AB19" s="1" t="n"/>
      <c r="AC19" s="1" t="n"/>
    </row>
    <row r="20" ht="15.75" customHeight="1">
      <c r="A20" s="1" t="n"/>
      <c r="B20" s="10" t="inlineStr">
        <is>
          <t>August</t>
        </is>
      </c>
      <c r="C20" s="1" t="n"/>
      <c r="D20" s="13" t="inlineStr">
        <is>
          <t>Education</t>
        </is>
      </c>
      <c r="E20" s="13">
        <f>SUMIF('January'!D19:D26,D20,'January'!E19:E26)</f>
        <v/>
      </c>
      <c r="F20" s="13">
        <f>SUMIF('February'!D19:D26,D20,'February'!E19:E26)</f>
        <v/>
      </c>
      <c r="G20" s="13">
        <f>SUMIF('March'!D19:D26,D20,'March'!E19:E26)</f>
        <v/>
      </c>
      <c r="H20" s="13">
        <f>SUMIF('April'!D19:D26,D20,'April'!E19:E26)</f>
        <v/>
      </c>
      <c r="I20" s="13">
        <f>SUMIF('May'!D19:D26,D20,'May'!E19:E26)</f>
        <v/>
      </c>
      <c r="J20" s="13">
        <f>SUMIF('June'!D19:D26,D20,'June'!E19:E26)</f>
        <v/>
      </c>
      <c r="K20" s="13">
        <f>SUMIF('July'!D19:D26,D20,'July'!E19:E26)</f>
        <v/>
      </c>
      <c r="L20" s="13">
        <f>SUMIF('August'!D19:D26,D20,'August'!E19:E26)</f>
        <v/>
      </c>
      <c r="M20" s="13">
        <f>SUMIF('September'!D19:D26,D20,'September'!E19:E26)</f>
        <v/>
      </c>
      <c r="N20" s="13">
        <f>SUMIF('October'!D19:D26,D20,'October'!E19:E26)</f>
        <v/>
      </c>
      <c r="O20" s="13">
        <f>SUMIF('November'!D19:D26,D20,'November'!E19:E26)</f>
        <v/>
      </c>
      <c r="P20" s="13">
        <f>SUMIF('December'!D19:D26,D20,'December'!E19:E26)</f>
        <v/>
      </c>
      <c r="Q20" s="12">
        <f>SUM(E20:P20)</f>
        <v/>
      </c>
      <c r="R20" s="1" t="n"/>
      <c r="S20" s="1" t="n"/>
      <c r="T20" s="1" t="n"/>
      <c r="U20" s="1" t="n"/>
      <c r="V20" s="1" t="n"/>
      <c r="W20" s="1" t="n"/>
      <c r="X20" s="1" t="n"/>
      <c r="Y20" s="1" t="n"/>
      <c r="Z20" s="1" t="n"/>
      <c r="AA20" s="1" t="n"/>
      <c r="AB20" s="1" t="n"/>
      <c r="AC20" s="1" t="n"/>
    </row>
    <row r="21" ht="15.75" customHeight="1">
      <c r="A21" s="1" t="n"/>
      <c r="B21" s="10" t="inlineStr">
        <is>
          <t>September</t>
        </is>
      </c>
      <c r="C21" s="1" t="n"/>
      <c r="D21" s="16" t="inlineStr">
        <is>
          <t>Personal Care</t>
        </is>
      </c>
      <c r="E21" s="16">
        <f>SUMIF('January'!D19:D26,D21,'January'!E19:E26)</f>
        <v/>
      </c>
      <c r="F21" s="16">
        <f>SUMIF('February'!D19:D26,D21,'February'!E19:E26)</f>
        <v/>
      </c>
      <c r="G21" s="16">
        <f>SUMIF('March'!D19:D26,D21,'March'!E19:E26)</f>
        <v/>
      </c>
      <c r="H21" s="16">
        <f>SUMIF('April'!D19:D26,D21,'April'!E19:E26)</f>
        <v/>
      </c>
      <c r="I21" s="16">
        <f>SUMIF('May'!D19:D26,D21,'May'!E19:E26)</f>
        <v/>
      </c>
      <c r="J21" s="16">
        <f>SUMIF('June'!D19:D26,D21,'June'!E19:E26)</f>
        <v/>
      </c>
      <c r="K21" s="16">
        <f>SUMIF('July'!D19:D26,D21,'July'!E19:E26)</f>
        <v/>
      </c>
      <c r="L21" s="16">
        <f>SUMIF('August'!D19:D26,D21,'August'!E19:E26)</f>
        <v/>
      </c>
      <c r="M21" s="16">
        <f>SUMIF('September'!D19:D26,D21,'September'!E19:E26)</f>
        <v/>
      </c>
      <c r="N21" s="16">
        <f>SUMIF('October'!D19:D26,D21,'October'!E19:E26)</f>
        <v/>
      </c>
      <c r="O21" s="16">
        <f>SUMIF('November'!D19:D26,D21,'November'!E19:E26)</f>
        <v/>
      </c>
      <c r="P21" s="16">
        <f>SUMIF('December'!D19:D26,D21,'December'!E19:E26)</f>
        <v/>
      </c>
      <c r="Q21" s="24">
        <f>SUM(E21:P21)</f>
        <v/>
      </c>
      <c r="R21" s="1" t="n"/>
      <c r="S21" s="1" t="n"/>
      <c r="T21" s="1" t="n"/>
      <c r="U21" s="1" t="n"/>
      <c r="V21" s="1" t="n"/>
      <c r="W21" s="1" t="n"/>
      <c r="X21" s="1" t="n"/>
      <c r="Y21" s="1" t="n"/>
      <c r="Z21" s="1" t="n"/>
      <c r="AA21" s="1" t="n"/>
      <c r="AB21" s="1" t="n"/>
      <c r="AC21" s="1" t="n"/>
    </row>
    <row r="22" ht="15.75" customHeight="1">
      <c r="A22" s="1" t="n"/>
      <c r="B22" s="10" t="inlineStr">
        <is>
          <t>October</t>
        </is>
      </c>
      <c r="C22" s="1" t="n"/>
      <c r="D22" s="13" t="inlineStr">
        <is>
          <t>Gifts</t>
        </is>
      </c>
      <c r="E22" s="13">
        <f>SUMIF('January'!D19:D26,D22,'January'!E19:E26)</f>
        <v/>
      </c>
      <c r="F22" s="13">
        <f>SUMIF('February'!D19:D26,D22,'February'!E19:E26)</f>
        <v/>
      </c>
      <c r="G22" s="13">
        <f>SUMIF('March'!D19:D26,D22,'March'!E19:E26)</f>
        <v/>
      </c>
      <c r="H22" s="13">
        <f>SUMIF('April'!D19:D26,D22,'April'!E19:E26)</f>
        <v/>
      </c>
      <c r="I22" s="13">
        <f>SUMIF('May'!D19:D26,D22,'May'!E19:E26)</f>
        <v/>
      </c>
      <c r="J22" s="13">
        <f>SUMIF('June'!D19:D26,D22,'June'!E19:E26)</f>
        <v/>
      </c>
      <c r="K22" s="13">
        <f>SUMIF('July'!D19:D26,D22,'July'!E19:E26)</f>
        <v/>
      </c>
      <c r="L22" s="13">
        <f>SUMIF('August'!D19:D26,D22,'August'!E19:E26)</f>
        <v/>
      </c>
      <c r="M22" s="13">
        <f>SUMIF('September'!D19:D26,D22,'September'!E19:E26)</f>
        <v/>
      </c>
      <c r="N22" s="13">
        <f>SUMIF('October'!D19:D26,D22,'October'!E19:E26)</f>
        <v/>
      </c>
      <c r="O22" s="13">
        <f>SUMIF('November'!D19:D26,D22,'November'!E19:E26)</f>
        <v/>
      </c>
      <c r="P22" s="13">
        <f>SUMIF('December'!D19:D26,D22,'December'!E19:E26)</f>
        <v/>
      </c>
      <c r="Q22" s="12">
        <f>SUM(E22:P22)</f>
        <v/>
      </c>
      <c r="R22" s="1" t="n"/>
      <c r="S22" s="1" t="n"/>
      <c r="T22" s="1" t="n"/>
      <c r="U22" s="1" t="n"/>
      <c r="V22" s="1" t="n"/>
      <c r="W22" s="1" t="n"/>
      <c r="X22" s="1" t="n"/>
      <c r="Y22" s="1" t="n"/>
      <c r="Z22" s="1" t="n"/>
      <c r="AA22" s="1" t="n"/>
      <c r="AB22" s="1" t="n"/>
      <c r="AC22" s="1" t="n"/>
    </row>
    <row r="23" ht="15.75" customHeight="1">
      <c r="A23" s="1" t="n"/>
      <c r="B23" s="10" t="inlineStr">
        <is>
          <t>November</t>
        </is>
      </c>
      <c r="C23" s="1" t="n"/>
      <c r="D23" s="16" t="inlineStr">
        <is>
          <t>Miscellaneous</t>
        </is>
      </c>
      <c r="E23" s="16">
        <f>SUMIF('January'!D19:D26,D23,'January'!E19:E26)</f>
        <v/>
      </c>
      <c r="F23" s="16">
        <f>SUMIF('February'!D19:D26,D23,'February'!E19:E26)</f>
        <v/>
      </c>
      <c r="G23" s="16">
        <f>SUMIF('March'!D19:D26,D23,'March'!E19:E26)</f>
        <v/>
      </c>
      <c r="H23" s="16">
        <f>SUMIF('April'!D19:D26,D23,'April'!E19:E26)</f>
        <v/>
      </c>
      <c r="I23" s="16">
        <f>SUMIF('May'!D19:D26,D23,'May'!E19:E26)</f>
        <v/>
      </c>
      <c r="J23" s="16">
        <f>SUMIF('June'!D19:D26,D23,'June'!E19:E26)</f>
        <v/>
      </c>
      <c r="K23" s="16">
        <f>SUMIF('July'!D19:D26,D23,'July'!E19:E26)</f>
        <v/>
      </c>
      <c r="L23" s="16">
        <f>SUMIF('August'!D19:D26,D23,'August'!E19:E26)</f>
        <v/>
      </c>
      <c r="M23" s="16">
        <f>SUMIF('September'!D19:D26,D23,'September'!E19:E26)</f>
        <v/>
      </c>
      <c r="N23" s="16">
        <f>SUMIF('October'!D19:D26,D23,'October'!E19:E26)</f>
        <v/>
      </c>
      <c r="O23" s="16">
        <f>SUMIF('November'!D19:D26,D23,'November'!E19:E26)</f>
        <v/>
      </c>
      <c r="P23" s="16">
        <f>SUMIF('December'!D19:D26,D23,'December'!E19:E26)</f>
        <v/>
      </c>
      <c r="Q23" s="24">
        <f>SUM(E23:P23)</f>
        <v/>
      </c>
      <c r="R23" s="1" t="n"/>
      <c r="S23" s="1" t="n"/>
      <c r="T23" s="1" t="n"/>
      <c r="U23" s="1" t="n"/>
      <c r="V23" s="1" t="n"/>
      <c r="W23" s="1" t="n"/>
      <c r="X23" s="1" t="n"/>
      <c r="Y23" s="1" t="n"/>
      <c r="Z23" s="1" t="n"/>
      <c r="AA23" s="1" t="n"/>
      <c r="AB23" s="1" t="n"/>
      <c r="AC23" s="1" t="n"/>
    </row>
    <row r="24" ht="15.75" customHeight="1">
      <c r="A24" s="1" t="n"/>
      <c r="B24" s="10" t="inlineStr">
        <is>
          <t>December</t>
        </is>
      </c>
      <c r="C24" s="1" t="n"/>
      <c r="D24" s="18" t="inlineStr">
        <is>
          <t>TOTAL</t>
        </is>
      </c>
      <c r="E24" s="18">
        <f>SUM(E8:E23)</f>
        <v/>
      </c>
      <c r="F24" s="18">
        <f>SUM(F8:F23)</f>
        <v/>
      </c>
      <c r="G24" s="18">
        <f>SUM(G8:G23)</f>
        <v/>
      </c>
      <c r="H24" s="18">
        <f>SUM(H8:H23)</f>
        <v/>
      </c>
      <c r="I24" s="18">
        <f>SUM(I8:I23)</f>
        <v/>
      </c>
      <c r="J24" s="18">
        <f>SUM(J8:J23)</f>
        <v/>
      </c>
      <c r="K24" s="18">
        <f>SUM(K8:K23)</f>
        <v/>
      </c>
      <c r="L24" s="18">
        <f>SUM(L8:L23)</f>
        <v/>
      </c>
      <c r="M24" s="18">
        <f>SUM(M8:M23)</f>
        <v/>
      </c>
      <c r="N24" s="18">
        <f>SUM(N8:N23)</f>
        <v/>
      </c>
      <c r="O24" s="18">
        <f>SUM(O8:O23)</f>
        <v/>
      </c>
      <c r="P24" s="18">
        <f>SUM(P8:P23)</f>
        <v/>
      </c>
      <c r="Q24" s="18">
        <f>SUM(Q8:Q23)</f>
        <v/>
      </c>
      <c r="R24" s="1" t="n"/>
      <c r="S24" s="1" t="n"/>
      <c r="T24" s="1" t="n"/>
      <c r="U24" s="1" t="n"/>
      <c r="V24" s="1" t="n"/>
      <c r="W24" s="1" t="n"/>
      <c r="X24" s="1" t="n"/>
      <c r="Y24" s="1" t="n"/>
      <c r="Z24" s="1" t="n"/>
      <c r="AA24" s="1" t="n"/>
      <c r="AB24" s="1" t="n"/>
      <c r="AC24" s="1" t="n"/>
    </row>
    <row r="25" ht="15.7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15.75" customHeight="1">
      <c r="A28" s="1" t="n"/>
      <c r="B28" s="10" t="inlineStr">
        <is>
          <t>Expense Dist</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mergeCells count="1">
    <mergeCell ref="D5:Q5"/>
  </mergeCells>
  <conditionalFormatting sqref="Q8:Q23">
    <cfRule type="dataBar" priority="1">
      <dataBar>
        <cfvo type="min"/>
        <cfvo type="max"/>
        <color rgb="00768975"/>
      </dataBar>
    </cfRule>
  </conditionalFormatting>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5.xml><?xml version="1.0" encoding="utf-8"?>
<worksheet xmlns="http://schemas.openxmlformats.org/spreadsheetml/2006/main">
  <sheetPr>
    <tabColor rgb="00768975"/>
    <outlinePr summaryBelow="1" summaryRight="1"/>
    <pageSetUpPr/>
  </sheetPr>
  <dimension ref="A1:AC7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JANUARY INCOME</t>
        </is>
      </c>
      <c r="E5" s="6" t="n"/>
      <c r="F5" s="6" t="n"/>
      <c r="G5" s="6" t="n"/>
      <c r="H5" s="6" t="n"/>
      <c r="I5" s="1" t="n"/>
      <c r="J5" s="1"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Source</t>
        </is>
      </c>
      <c r="E7" s="14" t="inlineStr">
        <is>
          <t>Amount</t>
        </is>
      </c>
      <c r="F7" s="14" t="inlineStr">
        <is>
          <t>Date Received</t>
        </is>
      </c>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3" t="inlineStr">
        <is>
          <t>Salary</t>
        </is>
      </c>
      <c r="E8" s="15" t="n">
        <v>5000</v>
      </c>
      <c r="F8" s="25" t="n">
        <v>46023</v>
      </c>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6" t="inlineStr">
        <is>
          <t>Side Hustle</t>
        </is>
      </c>
      <c r="E9" s="17" t="n">
        <v>500</v>
      </c>
      <c r="F9" s="26" t="n">
        <v>46028</v>
      </c>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3" t="inlineStr">
        <is>
          <t>Freelance</t>
        </is>
      </c>
      <c r="E10" s="15" t="n">
        <v>800</v>
      </c>
      <c r="F10" s="25" t="n">
        <v>46033</v>
      </c>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6" t="inlineStr">
        <is>
          <t>Investments</t>
        </is>
      </c>
      <c r="E11" s="17" t="n">
        <v>200</v>
      </c>
      <c r="F11" s="26" t="n">
        <v>46038</v>
      </c>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is>
          <t>Other</t>
        </is>
      </c>
      <c r="E12" s="15" t="n">
        <v>0</v>
      </c>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1" t="inlineStr">
        <is>
          <t>January</t>
        </is>
      </c>
      <c r="C13" s="1" t="n"/>
      <c r="D13" s="18" t="inlineStr">
        <is>
          <t>TOTAL INCOME</t>
        </is>
      </c>
      <c r="E13" s="19">
        <f>SUM(E8:E12)</f>
        <v/>
      </c>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28" customHeight="1">
      <c r="A15" s="1" t="n"/>
      <c r="B15" s="10" t="inlineStr">
        <is>
          <t>March</t>
        </is>
      </c>
      <c r="C15" s="1" t="n"/>
      <c r="D15" s="6" t="inlineStr">
        <is>
          <t>FIXED EXPENSES</t>
        </is>
      </c>
      <c r="E15" s="6" t="n"/>
      <c r="F15" s="6" t="n"/>
      <c r="G15" s="6" t="n"/>
      <c r="H15" s="6"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4" t="inlineStr">
        <is>
          <t>Category</t>
        </is>
      </c>
      <c r="E17" s="14" t="inlineStr">
        <is>
          <t>Budget</t>
        </is>
      </c>
      <c r="F17" s="14" t="inlineStr">
        <is>
          <t>Actual</t>
        </is>
      </c>
      <c r="G17" s="14" t="inlineStr">
        <is>
          <t>Difference</t>
        </is>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3" t="inlineStr">
        <is>
          <t>Housing</t>
        </is>
      </c>
      <c r="E18" s="15" t="n">
        <v>1500</v>
      </c>
      <c r="F18" s="15" t="n">
        <v>1500</v>
      </c>
      <c r="G18" s="13">
        <f>E18-F18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6" t="inlineStr">
        <is>
          <t>Utilities</t>
        </is>
      </c>
      <c r="E19" s="17" t="n">
        <v>200</v>
      </c>
      <c r="F19" s="17" t="n">
        <v>185</v>
      </c>
      <c r="G19" s="16">
        <f>E19-F19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3" t="inlineStr">
        <is>
          <t>Insurance</t>
        </is>
      </c>
      <c r="E20" s="15" t="n">
        <v>150</v>
      </c>
      <c r="F20" s="15" t="n">
        <v>150</v>
      </c>
      <c r="G20" s="13">
        <f>E20-F20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6" t="inlineStr">
        <is>
          <t>Transportation</t>
        </is>
      </c>
      <c r="E21" s="17" t="n">
        <v>300</v>
      </c>
      <c r="F21" s="17" t="n">
        <v>275</v>
      </c>
      <c r="G21" s="16">
        <f>E21-F21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3" t="inlineStr">
        <is>
          <t>Healthcare</t>
        </is>
      </c>
      <c r="E22" s="15" t="n">
        <v>100</v>
      </c>
      <c r="F22" s="15" t="n">
        <v>80</v>
      </c>
      <c r="G22" s="13">
        <f>E22-F22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6" t="inlineStr">
        <is>
          <t>Debt Payments</t>
        </is>
      </c>
      <c r="E23" s="17" t="n">
        <v>300</v>
      </c>
      <c r="F23" s="17" t="n">
        <v>300</v>
      </c>
      <c r="G23" s="16">
        <f>E23-F23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3" t="inlineStr">
        <is>
          <t>Subscriptions</t>
        </is>
      </c>
      <c r="E24" s="15" t="n">
        <v>50</v>
      </c>
      <c r="F24" s="15" t="n">
        <v>55</v>
      </c>
      <c r="G24" s="13">
        <f>E24-F24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6" t="inlineStr">
        <is>
          <t>Education</t>
        </is>
      </c>
      <c r="E25" s="17" t="n">
        <v>100</v>
      </c>
      <c r="F25" s="17" t="n">
        <v>100</v>
      </c>
      <c r="G25" s="16">
        <f>E25-F25</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8" t="inlineStr">
        <is>
          <t>TOTAL FIXED</t>
        </is>
      </c>
      <c r="E26" s="19">
        <f>SUM(E18:E25)</f>
        <v/>
      </c>
      <c r="F26" s="19">
        <f>SUM(F18:F25)</f>
        <v/>
      </c>
      <c r="G26" s="19">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28" customHeight="1">
      <c r="A28" s="1" t="n"/>
      <c r="B28" s="10" t="inlineStr">
        <is>
          <t>Expense Dist</t>
        </is>
      </c>
      <c r="C28" s="1" t="n"/>
      <c r="D28" s="6" t="inlineStr">
        <is>
          <t>VARIABLE EXPENSES</t>
        </is>
      </c>
      <c r="E28" s="6" t="n"/>
      <c r="F28" s="6" t="n"/>
      <c r="G28" s="6" t="n"/>
      <c r="H28" s="6"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4" t="inlineStr">
        <is>
          <t>Date</t>
        </is>
      </c>
      <c r="E30" s="14" t="inlineStr">
        <is>
          <t>Category</t>
        </is>
      </c>
      <c r="F30" s="14" t="inlineStr">
        <is>
          <t>Description</t>
        </is>
      </c>
      <c r="G30" s="14" t="inlineStr">
        <is>
          <t>Amount</t>
        </is>
      </c>
      <c r="H30" s="14" t="inlineStr">
        <is>
          <t>Amount</t>
        </is>
      </c>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25" t="n">
        <v>46025</v>
      </c>
      <c r="E31" s="13" t="inlineStr">
        <is>
          <t>Groceries</t>
        </is>
      </c>
      <c r="F31" s="13" t="inlineStr">
        <is>
          <t>Weekly groceries</t>
        </is>
      </c>
      <c r="G31" s="1" t="n"/>
      <c r="H31" s="15" t="n">
        <v>120</v>
      </c>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26" t="n">
        <v>46027</v>
      </c>
      <c r="E32" s="16" t="inlineStr">
        <is>
          <t>Dining Out</t>
        </is>
      </c>
      <c r="F32" s="16" t="inlineStr">
        <is>
          <t>Restaurant dinner</t>
        </is>
      </c>
      <c r="G32" s="1" t="n"/>
      <c r="H32" s="17" t="n">
        <v>65</v>
      </c>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25" t="n">
        <v>46030</v>
      </c>
      <c r="E33" s="13" t="inlineStr">
        <is>
          <t>Entertainment</t>
        </is>
      </c>
      <c r="F33" s="13" t="inlineStr">
        <is>
          <t>Movie tickets</t>
        </is>
      </c>
      <c r="G33" s="1" t="n"/>
      <c r="H33" s="15" t="n">
        <v>35</v>
      </c>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26" t="n">
        <v>46032</v>
      </c>
      <c r="E34" s="16" t="inlineStr">
        <is>
          <t>Shopping</t>
        </is>
      </c>
      <c r="F34" s="16" t="inlineStr">
        <is>
          <t>New shoes</t>
        </is>
      </c>
      <c r="G34" s="1" t="n"/>
      <c r="H34" s="17" t="n">
        <v>85</v>
      </c>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25" t="n">
        <v>46034</v>
      </c>
      <c r="E35" s="13" t="inlineStr">
        <is>
          <t>Personal Care</t>
        </is>
      </c>
      <c r="F35" s="13" t="inlineStr">
        <is>
          <t>Haircut</t>
        </is>
      </c>
      <c r="G35" s="1" t="n"/>
      <c r="H35" s="15" t="n">
        <v>40</v>
      </c>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26" t="n">
        <v>46037</v>
      </c>
      <c r="E36" s="16" t="inlineStr">
        <is>
          <t>Groceries</t>
        </is>
      </c>
      <c r="F36" s="16" t="inlineStr">
        <is>
          <t>Weekly groceries</t>
        </is>
      </c>
      <c r="G36" s="1" t="n"/>
      <c r="H36" s="17" t="n">
        <v>95</v>
      </c>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25" t="n">
        <v>46040</v>
      </c>
      <c r="E37" s="13" t="inlineStr">
        <is>
          <t>Dining Out</t>
        </is>
      </c>
      <c r="F37" s="13" t="inlineStr">
        <is>
          <t>Lunch meeting</t>
        </is>
      </c>
      <c r="G37" s="1" t="n"/>
      <c r="H37" s="15" t="n">
        <v>28</v>
      </c>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26" t="n">
        <v>46044</v>
      </c>
      <c r="E38" s="16" t="inlineStr">
        <is>
          <t>Groceries</t>
        </is>
      </c>
      <c r="F38" s="16" t="inlineStr">
        <is>
          <t>Weekly groceries</t>
        </is>
      </c>
      <c r="G38" s="1" t="n"/>
      <c r="H38" s="17" t="n">
        <v>110</v>
      </c>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25" t="n">
        <v>46047</v>
      </c>
      <c r="E39" s="13" t="inlineStr">
        <is>
          <t>Gifts</t>
        </is>
      </c>
      <c r="F39" s="13" t="inlineStr">
        <is>
          <t>Birthday gift</t>
        </is>
      </c>
      <c r="G39" s="1" t="n"/>
      <c r="H39" s="15" t="n">
        <v>50</v>
      </c>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26" t="n">
        <v>46050</v>
      </c>
      <c r="E40" s="16" t="inlineStr">
        <is>
          <t>Groceries</t>
        </is>
      </c>
      <c r="F40" s="16" t="inlineStr">
        <is>
          <t>Weekly groceries</t>
        </is>
      </c>
      <c r="G40" s="1" t="n"/>
      <c r="H40" s="17" t="n">
        <v>105</v>
      </c>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25" t="inlineStr"/>
      <c r="E41" s="13" t="inlineStr"/>
      <c r="F41" s="13" t="inlineStr"/>
      <c r="G41" s="1" t="n"/>
      <c r="H41" s="15" t="inlineStr"/>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26" t="inlineStr"/>
      <c r="E42" s="16" t="inlineStr"/>
      <c r="F42" s="16" t="inlineStr"/>
      <c r="G42" s="1" t="n"/>
      <c r="H42" s="17" t="inlineStr"/>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25" t="inlineStr"/>
      <c r="E43" s="13" t="inlineStr"/>
      <c r="F43" s="13" t="inlineStr"/>
      <c r="G43" s="1" t="n"/>
      <c r="H43" s="15" t="inlineStr"/>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26" t="inlineStr"/>
      <c r="E44" s="16" t="inlineStr"/>
      <c r="F44" s="16" t="inlineStr"/>
      <c r="G44" s="1" t="n"/>
      <c r="H44" s="17" t="inlineStr"/>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25" t="inlineStr"/>
      <c r="E45" s="13" t="inlineStr"/>
      <c r="F45" s="13" t="inlineStr"/>
      <c r="G45" s="1" t="n"/>
      <c r="H45" s="15" t="inlineStr"/>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26" t="inlineStr"/>
      <c r="E46" s="16" t="inlineStr"/>
      <c r="F46" s="16" t="inlineStr"/>
      <c r="G46" s="1" t="n"/>
      <c r="H46" s="17" t="inlineStr"/>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25" t="inlineStr"/>
      <c r="E47" s="13" t="inlineStr"/>
      <c r="F47" s="13" t="inlineStr"/>
      <c r="G47" s="1" t="n"/>
      <c r="H47" s="15" t="inlineStr"/>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26" t="inlineStr"/>
      <c r="E48" s="16" t="inlineStr"/>
      <c r="F48" s="16" t="inlineStr"/>
      <c r="G48" s="1" t="n"/>
      <c r="H48" s="17" t="inlineStr"/>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25" t="inlineStr"/>
      <c r="E49" s="13" t="inlineStr"/>
      <c r="F49" s="13" t="inlineStr"/>
      <c r="G49" s="1" t="n"/>
      <c r="H49" s="15" t="inlineStr"/>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26" t="inlineStr"/>
      <c r="E50" s="16" t="inlineStr"/>
      <c r="F50" s="16" t="inlineStr"/>
      <c r="G50" s="1" t="n"/>
      <c r="H50" s="17" t="inlineStr"/>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25" t="inlineStr"/>
      <c r="E51" s="13" t="inlineStr"/>
      <c r="F51" s="13" t="inlineStr"/>
      <c r="G51" s="1" t="n"/>
      <c r="H51" s="15" t="inlineStr"/>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26" t="inlineStr"/>
      <c r="E52" s="16" t="inlineStr"/>
      <c r="F52" s="16" t="inlineStr"/>
      <c r="G52" s="1" t="n"/>
      <c r="H52" s="17" t="inlineStr"/>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25" t="inlineStr"/>
      <c r="E53" s="13" t="inlineStr"/>
      <c r="F53" s="13" t="inlineStr"/>
      <c r="G53" s="1" t="n"/>
      <c r="H53" s="15" t="inlineStr"/>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26" t="inlineStr"/>
      <c r="E54" s="16" t="inlineStr"/>
      <c r="F54" s="16" t="inlineStr"/>
      <c r="G54" s="1" t="n"/>
      <c r="H54" s="17" t="inlineStr"/>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25" t="inlineStr"/>
      <c r="E55" s="13" t="inlineStr"/>
      <c r="F55" s="13" t="inlineStr"/>
      <c r="G55" s="1" t="n"/>
      <c r="H55" s="15" t="inlineStr"/>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26" t="inlineStr"/>
      <c r="E56" s="16" t="inlineStr"/>
      <c r="F56" s="16" t="inlineStr"/>
      <c r="G56" s="1" t="n"/>
      <c r="H56" s="17" t="inlineStr"/>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25" t="inlineStr"/>
      <c r="E57" s="13" t="inlineStr"/>
      <c r="F57" s="13" t="inlineStr"/>
      <c r="G57" s="1" t="n"/>
      <c r="H57" s="15" t="inlineStr"/>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26" t="inlineStr"/>
      <c r="E58" s="16" t="inlineStr"/>
      <c r="F58" s="16" t="inlineStr"/>
      <c r="G58" s="1" t="n"/>
      <c r="H58" s="17" t="inlineStr"/>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25" t="inlineStr"/>
      <c r="E59" s="13" t="inlineStr"/>
      <c r="F59" s="13" t="inlineStr"/>
      <c r="G59" s="1" t="n"/>
      <c r="H59" s="15" t="inlineStr"/>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26" t="inlineStr"/>
      <c r="E60" s="16" t="inlineStr"/>
      <c r="F60" s="16" t="inlineStr"/>
      <c r="G60" s="1" t="n"/>
      <c r="H60" s="17" t="inlineStr"/>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8" t="inlineStr">
        <is>
          <t>TOTAL VARIABLE</t>
        </is>
      </c>
      <c r="E61" s="1" t="n"/>
      <c r="F61" s="1" t="n"/>
      <c r="G61" s="1" t="n"/>
      <c r="H61" s="19">
        <f>SUM(H31:H60)</f>
        <v/>
      </c>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28" customHeight="1">
      <c r="A63" s="1" t="n"/>
      <c r="B63" s="1" t="n"/>
      <c r="C63" s="1" t="n"/>
      <c r="D63" s="6" t="inlineStr">
        <is>
          <t>MONTHLY SUMMARY</t>
        </is>
      </c>
      <c r="E63" s="6" t="n"/>
      <c r="F63" s="6" t="n"/>
      <c r="G63" s="6" t="n"/>
      <c r="H63" s="6"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2" t="inlineStr">
        <is>
          <t>Total Income</t>
        </is>
      </c>
      <c r="E65" s="13">
        <f>E13</f>
        <v/>
      </c>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2" t="inlineStr">
        <is>
          <t>Total Fixed Expenses</t>
        </is>
      </c>
      <c r="E66" s="13">
        <f>F26</f>
        <v/>
      </c>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2" t="inlineStr">
        <is>
          <t>Total Variable Expenses</t>
        </is>
      </c>
      <c r="E67" s="13">
        <f>H61</f>
        <v/>
      </c>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8" t="inlineStr">
        <is>
          <t>NET (Income - Expenses)</t>
        </is>
      </c>
      <c r="E68" s="19">
        <f>E13-F26-H61</f>
        <v/>
      </c>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autoFilter ref="D30:H60"/>
  <mergeCells count="4">
    <mergeCell ref="D63:H63"/>
    <mergeCell ref="D5:H5"/>
    <mergeCell ref="D15:H15"/>
    <mergeCell ref="D28:H28"/>
  </mergeCells>
  <conditionalFormatting sqref="G18:G25">
    <cfRule type="cellIs" priority="1" operator="greaterThanOrEqual" dxfId="0">
      <formula>0</formula>
    </cfRule>
    <cfRule type="cellIs" priority="2" operator="lessThan" dxfId="1">
      <formula>0</formula>
    </cfRule>
  </conditionalFormatting>
  <dataValidations count="2">
    <dataValidation sqref="D18 D19 D20 D21 D22 D23 D24 D25"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 sqref="E31 E32 E33 E34 E35 E36 E37 E38 E39 E40 E41 E42 E43 E44 E45 E46 E47 E48 E49 E50 E51 E52 E53 E54 E55 E56 E57 E58 E59 E60"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6.xml><?xml version="1.0" encoding="utf-8"?>
<worksheet xmlns="http://schemas.openxmlformats.org/spreadsheetml/2006/main">
  <sheetPr>
    <tabColor rgb="00768975"/>
    <outlinePr summaryBelow="1" summaryRight="1"/>
    <pageSetUpPr/>
  </sheetPr>
  <dimension ref="A1:AC7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FEBRUARY INCOME</t>
        </is>
      </c>
      <c r="E5" s="6" t="n"/>
      <c r="F5" s="6" t="n"/>
      <c r="G5" s="6" t="n"/>
      <c r="H5" s="6" t="n"/>
      <c r="I5" s="1" t="n"/>
      <c r="J5" s="1"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Source</t>
        </is>
      </c>
      <c r="E7" s="14" t="inlineStr">
        <is>
          <t>Amount</t>
        </is>
      </c>
      <c r="F7" s="14" t="inlineStr">
        <is>
          <t>Date Received</t>
        </is>
      </c>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3" t="inlineStr">
        <is>
          <t>Salary</t>
        </is>
      </c>
      <c r="E8" s="27"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6" t="inlineStr">
        <is>
          <t>Side Hustle</t>
        </is>
      </c>
      <c r="E9" s="27"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3" t="inlineStr">
        <is>
          <t>Freelance</t>
        </is>
      </c>
      <c r="E10" s="27"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6" t="inlineStr">
        <is>
          <t>Investments</t>
        </is>
      </c>
      <c r="E11" s="27"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is>
          <t>Other</t>
        </is>
      </c>
      <c r="E12" s="27"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8" t="inlineStr">
        <is>
          <t>TOTAL INCOME</t>
        </is>
      </c>
      <c r="E13" s="19">
        <f>SUM(E8:E12)</f>
        <v/>
      </c>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1" t="inlineStr">
        <is>
          <t>February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28" customHeight="1">
      <c r="A15" s="1" t="n"/>
      <c r="B15" s="10" t="inlineStr">
        <is>
          <t>March</t>
        </is>
      </c>
      <c r="C15" s="1" t="n"/>
      <c r="D15" s="6" t="inlineStr">
        <is>
          <t>FIXED EXPENSES</t>
        </is>
      </c>
      <c r="E15" s="6" t="n"/>
      <c r="F15" s="6" t="n"/>
      <c r="G15" s="6" t="n"/>
      <c r="H15" s="6"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4" t="inlineStr">
        <is>
          <t>Category</t>
        </is>
      </c>
      <c r="E17" s="14" t="inlineStr">
        <is>
          <t>Budget</t>
        </is>
      </c>
      <c r="F17" s="14" t="inlineStr">
        <is>
          <t>Actual</t>
        </is>
      </c>
      <c r="G17" s="14" t="inlineStr">
        <is>
          <t>Difference</t>
        </is>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3" t="inlineStr"/>
      <c r="E18" s="27" t="n"/>
      <c r="F18" s="27" t="n"/>
      <c r="G18" s="13">
        <f>E18-F18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6" t="inlineStr"/>
      <c r="E19" s="27" t="n"/>
      <c r="F19" s="27" t="n"/>
      <c r="G19" s="16">
        <f>E19-F19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3" t="inlineStr"/>
      <c r="E20" s="27" t="n"/>
      <c r="F20" s="27" t="n"/>
      <c r="G20" s="13">
        <f>E20-F20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6" t="inlineStr"/>
      <c r="E21" s="27" t="n"/>
      <c r="F21" s="27" t="n"/>
      <c r="G21" s="16">
        <f>E21-F21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3" t="inlineStr"/>
      <c r="E22" s="27" t="n"/>
      <c r="F22" s="27" t="n"/>
      <c r="G22" s="13">
        <f>E22-F22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6" t="inlineStr"/>
      <c r="E23" s="27" t="n"/>
      <c r="F23" s="27" t="n"/>
      <c r="G23" s="16">
        <f>E23-F23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3" t="inlineStr"/>
      <c r="E24" s="27" t="n"/>
      <c r="F24" s="27" t="n"/>
      <c r="G24" s="13">
        <f>E24-F24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6" t="inlineStr"/>
      <c r="E25" s="27" t="n"/>
      <c r="F25" s="27" t="n"/>
      <c r="G25" s="16">
        <f>E25-F25</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8" t="inlineStr">
        <is>
          <t>TOTAL FIXED</t>
        </is>
      </c>
      <c r="E26" s="19">
        <f>SUM(E18:E25)</f>
        <v/>
      </c>
      <c r="F26" s="19">
        <f>SUM(F18:F25)</f>
        <v/>
      </c>
      <c r="G26" s="19">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28" customHeight="1">
      <c r="A28" s="1" t="n"/>
      <c r="B28" s="10" t="inlineStr">
        <is>
          <t>Expense Dist</t>
        </is>
      </c>
      <c r="C28" s="1" t="n"/>
      <c r="D28" s="6" t="inlineStr">
        <is>
          <t>VARIABLE EXPENSES</t>
        </is>
      </c>
      <c r="E28" s="6" t="n"/>
      <c r="F28" s="6" t="n"/>
      <c r="G28" s="6" t="n"/>
      <c r="H28" s="6"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4" t="inlineStr">
        <is>
          <t>Date</t>
        </is>
      </c>
      <c r="E30" s="14" t="inlineStr">
        <is>
          <t>Category</t>
        </is>
      </c>
      <c r="F30" s="14" t="inlineStr">
        <is>
          <t>Description</t>
        </is>
      </c>
      <c r="G30" s="14" t="inlineStr">
        <is>
          <t>Amount</t>
        </is>
      </c>
      <c r="H30" s="14" t="inlineStr">
        <is>
          <t>Amount</t>
        </is>
      </c>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25" t="inlineStr"/>
      <c r="E31" s="13" t="inlineStr"/>
      <c r="F31" s="13" t="inlineStr"/>
      <c r="G31" s="1" t="n"/>
      <c r="H31" s="15" t="inlineStr"/>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26" t="inlineStr"/>
      <c r="E32" s="16" t="inlineStr"/>
      <c r="F32" s="16" t="inlineStr"/>
      <c r="G32" s="1" t="n"/>
      <c r="H32" s="17" t="inlineStr"/>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25" t="inlineStr"/>
      <c r="E33" s="13" t="inlineStr"/>
      <c r="F33" s="13" t="inlineStr"/>
      <c r="G33" s="1" t="n"/>
      <c r="H33" s="15" t="inlineStr"/>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26" t="inlineStr"/>
      <c r="E34" s="16" t="inlineStr"/>
      <c r="F34" s="16" t="inlineStr"/>
      <c r="G34" s="1" t="n"/>
      <c r="H34" s="17" t="inlineStr"/>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25" t="inlineStr"/>
      <c r="E35" s="13" t="inlineStr"/>
      <c r="F35" s="13" t="inlineStr"/>
      <c r="G35" s="1" t="n"/>
      <c r="H35" s="15" t="inlineStr"/>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26" t="inlineStr"/>
      <c r="E36" s="16" t="inlineStr"/>
      <c r="F36" s="16" t="inlineStr"/>
      <c r="G36" s="1" t="n"/>
      <c r="H36" s="17" t="inlineStr"/>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25" t="inlineStr"/>
      <c r="E37" s="13" t="inlineStr"/>
      <c r="F37" s="13" t="inlineStr"/>
      <c r="G37" s="1" t="n"/>
      <c r="H37" s="15" t="inlineStr"/>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26" t="inlineStr"/>
      <c r="E38" s="16" t="inlineStr"/>
      <c r="F38" s="16" t="inlineStr"/>
      <c r="G38" s="1" t="n"/>
      <c r="H38" s="17" t="inlineStr"/>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25" t="inlineStr"/>
      <c r="E39" s="13" t="inlineStr"/>
      <c r="F39" s="13" t="inlineStr"/>
      <c r="G39" s="1" t="n"/>
      <c r="H39" s="15" t="inlineStr"/>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26" t="inlineStr"/>
      <c r="E40" s="16" t="inlineStr"/>
      <c r="F40" s="16" t="inlineStr"/>
      <c r="G40" s="1" t="n"/>
      <c r="H40" s="17" t="inlineStr"/>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25" t="inlineStr"/>
      <c r="E41" s="13" t="inlineStr"/>
      <c r="F41" s="13" t="inlineStr"/>
      <c r="G41" s="1" t="n"/>
      <c r="H41" s="15" t="inlineStr"/>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26" t="inlineStr"/>
      <c r="E42" s="16" t="inlineStr"/>
      <c r="F42" s="16" t="inlineStr"/>
      <c r="G42" s="1" t="n"/>
      <c r="H42" s="17" t="inlineStr"/>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25" t="inlineStr"/>
      <c r="E43" s="13" t="inlineStr"/>
      <c r="F43" s="13" t="inlineStr"/>
      <c r="G43" s="1" t="n"/>
      <c r="H43" s="15" t="inlineStr"/>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26" t="inlineStr"/>
      <c r="E44" s="16" t="inlineStr"/>
      <c r="F44" s="16" t="inlineStr"/>
      <c r="G44" s="1" t="n"/>
      <c r="H44" s="17" t="inlineStr"/>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25" t="inlineStr"/>
      <c r="E45" s="13" t="inlineStr"/>
      <c r="F45" s="13" t="inlineStr"/>
      <c r="G45" s="1" t="n"/>
      <c r="H45" s="15" t="inlineStr"/>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26" t="inlineStr"/>
      <c r="E46" s="16" t="inlineStr"/>
      <c r="F46" s="16" t="inlineStr"/>
      <c r="G46" s="1" t="n"/>
      <c r="H46" s="17" t="inlineStr"/>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25" t="inlineStr"/>
      <c r="E47" s="13" t="inlineStr"/>
      <c r="F47" s="13" t="inlineStr"/>
      <c r="G47" s="1" t="n"/>
      <c r="H47" s="15" t="inlineStr"/>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26" t="inlineStr"/>
      <c r="E48" s="16" t="inlineStr"/>
      <c r="F48" s="16" t="inlineStr"/>
      <c r="G48" s="1" t="n"/>
      <c r="H48" s="17" t="inlineStr"/>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25" t="inlineStr"/>
      <c r="E49" s="13" t="inlineStr"/>
      <c r="F49" s="13" t="inlineStr"/>
      <c r="G49" s="1" t="n"/>
      <c r="H49" s="15" t="inlineStr"/>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26" t="inlineStr"/>
      <c r="E50" s="16" t="inlineStr"/>
      <c r="F50" s="16" t="inlineStr"/>
      <c r="G50" s="1" t="n"/>
      <c r="H50" s="17" t="inlineStr"/>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25" t="inlineStr"/>
      <c r="E51" s="13" t="inlineStr"/>
      <c r="F51" s="13" t="inlineStr"/>
      <c r="G51" s="1" t="n"/>
      <c r="H51" s="15" t="inlineStr"/>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26" t="inlineStr"/>
      <c r="E52" s="16" t="inlineStr"/>
      <c r="F52" s="16" t="inlineStr"/>
      <c r="G52" s="1" t="n"/>
      <c r="H52" s="17" t="inlineStr"/>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25" t="inlineStr"/>
      <c r="E53" s="13" t="inlineStr"/>
      <c r="F53" s="13" t="inlineStr"/>
      <c r="G53" s="1" t="n"/>
      <c r="H53" s="15" t="inlineStr"/>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26" t="inlineStr"/>
      <c r="E54" s="16" t="inlineStr"/>
      <c r="F54" s="16" t="inlineStr"/>
      <c r="G54" s="1" t="n"/>
      <c r="H54" s="17" t="inlineStr"/>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25" t="inlineStr"/>
      <c r="E55" s="13" t="inlineStr"/>
      <c r="F55" s="13" t="inlineStr"/>
      <c r="G55" s="1" t="n"/>
      <c r="H55" s="15" t="inlineStr"/>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26" t="inlineStr"/>
      <c r="E56" s="16" t="inlineStr"/>
      <c r="F56" s="16" t="inlineStr"/>
      <c r="G56" s="1" t="n"/>
      <c r="H56" s="17" t="inlineStr"/>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25" t="inlineStr"/>
      <c r="E57" s="13" t="inlineStr"/>
      <c r="F57" s="13" t="inlineStr"/>
      <c r="G57" s="1" t="n"/>
      <c r="H57" s="15" t="inlineStr"/>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26" t="inlineStr"/>
      <c r="E58" s="16" t="inlineStr"/>
      <c r="F58" s="16" t="inlineStr"/>
      <c r="G58" s="1" t="n"/>
      <c r="H58" s="17" t="inlineStr"/>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25" t="inlineStr"/>
      <c r="E59" s="13" t="inlineStr"/>
      <c r="F59" s="13" t="inlineStr"/>
      <c r="G59" s="1" t="n"/>
      <c r="H59" s="15" t="inlineStr"/>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26" t="inlineStr"/>
      <c r="E60" s="16" t="inlineStr"/>
      <c r="F60" s="16" t="inlineStr"/>
      <c r="G60" s="1" t="n"/>
      <c r="H60" s="17" t="inlineStr"/>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8" t="inlineStr">
        <is>
          <t>TOTAL VARIABLE</t>
        </is>
      </c>
      <c r="E61" s="1" t="n"/>
      <c r="F61" s="1" t="n"/>
      <c r="G61" s="1" t="n"/>
      <c r="H61" s="19">
        <f>SUM(H31:H60)</f>
        <v/>
      </c>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28" customHeight="1">
      <c r="A63" s="1" t="n"/>
      <c r="B63" s="1" t="n"/>
      <c r="C63" s="1" t="n"/>
      <c r="D63" s="6" t="inlineStr">
        <is>
          <t>MONTHLY SUMMARY</t>
        </is>
      </c>
      <c r="E63" s="6" t="n"/>
      <c r="F63" s="6" t="n"/>
      <c r="G63" s="6" t="n"/>
      <c r="H63" s="6"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2" t="inlineStr">
        <is>
          <t>Total Income</t>
        </is>
      </c>
      <c r="E65" s="13">
        <f>E13</f>
        <v/>
      </c>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2" t="inlineStr">
        <is>
          <t>Total Fixed Expenses</t>
        </is>
      </c>
      <c r="E66" s="13">
        <f>F26</f>
        <v/>
      </c>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2" t="inlineStr">
        <is>
          <t>Total Variable Expenses</t>
        </is>
      </c>
      <c r="E67" s="13">
        <f>H61</f>
        <v/>
      </c>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8" t="inlineStr">
        <is>
          <t>NET (Income - Expenses)</t>
        </is>
      </c>
      <c r="E68" s="19">
        <f>E13-F26-H61</f>
        <v/>
      </c>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autoFilter ref="D30:H60"/>
  <mergeCells count="4">
    <mergeCell ref="D63:H63"/>
    <mergeCell ref="D5:H5"/>
    <mergeCell ref="D15:H15"/>
    <mergeCell ref="D28:H28"/>
  </mergeCells>
  <conditionalFormatting sqref="G18:G25">
    <cfRule type="cellIs" priority="1" operator="greaterThanOrEqual" dxfId="0">
      <formula>0</formula>
    </cfRule>
    <cfRule type="cellIs" priority="2" operator="lessThan" dxfId="1">
      <formula>0</formula>
    </cfRule>
  </conditionalFormatting>
  <dataValidations count="2">
    <dataValidation sqref="D18 D19 D20 D21 D22 D23 D24 D25"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 sqref="E31 E32 E33 E34 E35 E36 E37 E38 E39 E40 E41 E42 E43 E44 E45 E46 E47 E48 E49 E50 E51 E52 E53 E54 E55 E56 E57 E58 E59 E60"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7.xml><?xml version="1.0" encoding="utf-8"?>
<worksheet xmlns="http://schemas.openxmlformats.org/spreadsheetml/2006/main">
  <sheetPr>
    <tabColor rgb="00768975"/>
    <outlinePr summaryBelow="1" summaryRight="1"/>
    <pageSetUpPr/>
  </sheetPr>
  <dimension ref="A1:AC7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MARCH INCOME</t>
        </is>
      </c>
      <c r="E5" s="6" t="n"/>
      <c r="F5" s="6" t="n"/>
      <c r="G5" s="6" t="n"/>
      <c r="H5" s="6" t="n"/>
      <c r="I5" s="1" t="n"/>
      <c r="J5" s="1"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Source</t>
        </is>
      </c>
      <c r="E7" s="14" t="inlineStr">
        <is>
          <t>Amount</t>
        </is>
      </c>
      <c r="F7" s="14" t="inlineStr">
        <is>
          <t>Date Received</t>
        </is>
      </c>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3" t="inlineStr">
        <is>
          <t>Salary</t>
        </is>
      </c>
      <c r="E8" s="27"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6" t="inlineStr">
        <is>
          <t>Side Hustle</t>
        </is>
      </c>
      <c r="E9" s="27"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3" t="inlineStr">
        <is>
          <t>Freelance</t>
        </is>
      </c>
      <c r="E10" s="27"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6" t="inlineStr">
        <is>
          <t>Investments</t>
        </is>
      </c>
      <c r="E11" s="27"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is>
          <t>Other</t>
        </is>
      </c>
      <c r="E12" s="27"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8" t="inlineStr">
        <is>
          <t>TOTAL INCOME</t>
        </is>
      </c>
      <c r="E13" s="19">
        <f>SUM(E8:E12)</f>
        <v/>
      </c>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28" customHeight="1">
      <c r="A15" s="1" t="n"/>
      <c r="B15" s="11" t="inlineStr">
        <is>
          <t>March</t>
        </is>
      </c>
      <c r="C15" s="1" t="n"/>
      <c r="D15" s="6" t="inlineStr">
        <is>
          <t>FIXED EXPENSES</t>
        </is>
      </c>
      <c r="E15" s="6" t="n"/>
      <c r="F15" s="6" t="n"/>
      <c r="G15" s="6" t="n"/>
      <c r="H15" s="6"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4" t="inlineStr">
        <is>
          <t>Category</t>
        </is>
      </c>
      <c r="E17" s="14" t="inlineStr">
        <is>
          <t>Budget</t>
        </is>
      </c>
      <c r="F17" s="14" t="inlineStr">
        <is>
          <t>Actual</t>
        </is>
      </c>
      <c r="G17" s="14" t="inlineStr">
        <is>
          <t>Difference</t>
        </is>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3" t="inlineStr"/>
      <c r="E18" s="27" t="n"/>
      <c r="F18" s="27" t="n"/>
      <c r="G18" s="13">
        <f>E18-F18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6" t="inlineStr"/>
      <c r="E19" s="27" t="n"/>
      <c r="F19" s="27" t="n"/>
      <c r="G19" s="16">
        <f>E19-F19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3" t="inlineStr"/>
      <c r="E20" s="27" t="n"/>
      <c r="F20" s="27" t="n"/>
      <c r="G20" s="13">
        <f>E20-F20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6" t="inlineStr"/>
      <c r="E21" s="27" t="n"/>
      <c r="F21" s="27" t="n"/>
      <c r="G21" s="16">
        <f>E21-F21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3" t="inlineStr"/>
      <c r="E22" s="27" t="n"/>
      <c r="F22" s="27" t="n"/>
      <c r="G22" s="13">
        <f>E22-F22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6" t="inlineStr"/>
      <c r="E23" s="27" t="n"/>
      <c r="F23" s="27" t="n"/>
      <c r="G23" s="16">
        <f>E23-F23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3" t="inlineStr"/>
      <c r="E24" s="27" t="n"/>
      <c r="F24" s="27" t="n"/>
      <c r="G24" s="13">
        <f>E24-F24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6" t="inlineStr"/>
      <c r="E25" s="27" t="n"/>
      <c r="F25" s="27" t="n"/>
      <c r="G25" s="16">
        <f>E25-F25</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8" t="inlineStr">
        <is>
          <t>TOTAL FIXED</t>
        </is>
      </c>
      <c r="E26" s="19">
        <f>SUM(E18:E25)</f>
        <v/>
      </c>
      <c r="F26" s="19">
        <f>SUM(F18:F25)</f>
        <v/>
      </c>
      <c r="G26" s="19">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28" customHeight="1">
      <c r="A28" s="1" t="n"/>
      <c r="B28" s="10" t="inlineStr">
        <is>
          <t>Expense Dist</t>
        </is>
      </c>
      <c r="C28" s="1" t="n"/>
      <c r="D28" s="6" t="inlineStr">
        <is>
          <t>VARIABLE EXPENSES</t>
        </is>
      </c>
      <c r="E28" s="6" t="n"/>
      <c r="F28" s="6" t="n"/>
      <c r="G28" s="6" t="n"/>
      <c r="H28" s="6"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4" t="inlineStr">
        <is>
          <t>Date</t>
        </is>
      </c>
      <c r="E30" s="14" t="inlineStr">
        <is>
          <t>Category</t>
        </is>
      </c>
      <c r="F30" s="14" t="inlineStr">
        <is>
          <t>Description</t>
        </is>
      </c>
      <c r="G30" s="14" t="inlineStr">
        <is>
          <t>Amount</t>
        </is>
      </c>
      <c r="H30" s="14" t="inlineStr">
        <is>
          <t>Amount</t>
        </is>
      </c>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25" t="inlineStr"/>
      <c r="E31" s="13" t="inlineStr"/>
      <c r="F31" s="13" t="inlineStr"/>
      <c r="G31" s="1" t="n"/>
      <c r="H31" s="15" t="inlineStr"/>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26" t="inlineStr"/>
      <c r="E32" s="16" t="inlineStr"/>
      <c r="F32" s="16" t="inlineStr"/>
      <c r="G32" s="1" t="n"/>
      <c r="H32" s="17" t="inlineStr"/>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25" t="inlineStr"/>
      <c r="E33" s="13" t="inlineStr"/>
      <c r="F33" s="13" t="inlineStr"/>
      <c r="G33" s="1" t="n"/>
      <c r="H33" s="15" t="inlineStr"/>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26" t="inlineStr"/>
      <c r="E34" s="16" t="inlineStr"/>
      <c r="F34" s="16" t="inlineStr"/>
      <c r="G34" s="1" t="n"/>
      <c r="H34" s="17" t="inlineStr"/>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25" t="inlineStr"/>
      <c r="E35" s="13" t="inlineStr"/>
      <c r="F35" s="13" t="inlineStr"/>
      <c r="G35" s="1" t="n"/>
      <c r="H35" s="15" t="inlineStr"/>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26" t="inlineStr"/>
      <c r="E36" s="16" t="inlineStr"/>
      <c r="F36" s="16" t="inlineStr"/>
      <c r="G36" s="1" t="n"/>
      <c r="H36" s="17" t="inlineStr"/>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25" t="inlineStr"/>
      <c r="E37" s="13" t="inlineStr"/>
      <c r="F37" s="13" t="inlineStr"/>
      <c r="G37" s="1" t="n"/>
      <c r="H37" s="15" t="inlineStr"/>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26" t="inlineStr"/>
      <c r="E38" s="16" t="inlineStr"/>
      <c r="F38" s="16" t="inlineStr"/>
      <c r="G38" s="1" t="n"/>
      <c r="H38" s="17" t="inlineStr"/>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25" t="inlineStr"/>
      <c r="E39" s="13" t="inlineStr"/>
      <c r="F39" s="13" t="inlineStr"/>
      <c r="G39" s="1" t="n"/>
      <c r="H39" s="15" t="inlineStr"/>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26" t="inlineStr"/>
      <c r="E40" s="16" t="inlineStr"/>
      <c r="F40" s="16" t="inlineStr"/>
      <c r="G40" s="1" t="n"/>
      <c r="H40" s="17" t="inlineStr"/>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25" t="inlineStr"/>
      <c r="E41" s="13" t="inlineStr"/>
      <c r="F41" s="13" t="inlineStr"/>
      <c r="G41" s="1" t="n"/>
      <c r="H41" s="15" t="inlineStr"/>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26" t="inlineStr"/>
      <c r="E42" s="16" t="inlineStr"/>
      <c r="F42" s="16" t="inlineStr"/>
      <c r="G42" s="1" t="n"/>
      <c r="H42" s="17" t="inlineStr"/>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25" t="inlineStr"/>
      <c r="E43" s="13" t="inlineStr"/>
      <c r="F43" s="13" t="inlineStr"/>
      <c r="G43" s="1" t="n"/>
      <c r="H43" s="15" t="inlineStr"/>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26" t="inlineStr"/>
      <c r="E44" s="16" t="inlineStr"/>
      <c r="F44" s="16" t="inlineStr"/>
      <c r="G44" s="1" t="n"/>
      <c r="H44" s="17" t="inlineStr"/>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25" t="inlineStr"/>
      <c r="E45" s="13" t="inlineStr"/>
      <c r="F45" s="13" t="inlineStr"/>
      <c r="G45" s="1" t="n"/>
      <c r="H45" s="15" t="inlineStr"/>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26" t="inlineStr"/>
      <c r="E46" s="16" t="inlineStr"/>
      <c r="F46" s="16" t="inlineStr"/>
      <c r="G46" s="1" t="n"/>
      <c r="H46" s="17" t="inlineStr"/>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25" t="inlineStr"/>
      <c r="E47" s="13" t="inlineStr"/>
      <c r="F47" s="13" t="inlineStr"/>
      <c r="G47" s="1" t="n"/>
      <c r="H47" s="15" t="inlineStr"/>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26" t="inlineStr"/>
      <c r="E48" s="16" t="inlineStr"/>
      <c r="F48" s="16" t="inlineStr"/>
      <c r="G48" s="1" t="n"/>
      <c r="H48" s="17" t="inlineStr"/>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25" t="inlineStr"/>
      <c r="E49" s="13" t="inlineStr"/>
      <c r="F49" s="13" t="inlineStr"/>
      <c r="G49" s="1" t="n"/>
      <c r="H49" s="15" t="inlineStr"/>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26" t="inlineStr"/>
      <c r="E50" s="16" t="inlineStr"/>
      <c r="F50" s="16" t="inlineStr"/>
      <c r="G50" s="1" t="n"/>
      <c r="H50" s="17" t="inlineStr"/>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25" t="inlineStr"/>
      <c r="E51" s="13" t="inlineStr"/>
      <c r="F51" s="13" t="inlineStr"/>
      <c r="G51" s="1" t="n"/>
      <c r="H51" s="15" t="inlineStr"/>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26" t="inlineStr"/>
      <c r="E52" s="16" t="inlineStr"/>
      <c r="F52" s="16" t="inlineStr"/>
      <c r="G52" s="1" t="n"/>
      <c r="H52" s="17" t="inlineStr"/>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25" t="inlineStr"/>
      <c r="E53" s="13" t="inlineStr"/>
      <c r="F53" s="13" t="inlineStr"/>
      <c r="G53" s="1" t="n"/>
      <c r="H53" s="15" t="inlineStr"/>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26" t="inlineStr"/>
      <c r="E54" s="16" t="inlineStr"/>
      <c r="F54" s="16" t="inlineStr"/>
      <c r="G54" s="1" t="n"/>
      <c r="H54" s="17" t="inlineStr"/>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25" t="inlineStr"/>
      <c r="E55" s="13" t="inlineStr"/>
      <c r="F55" s="13" t="inlineStr"/>
      <c r="G55" s="1" t="n"/>
      <c r="H55" s="15" t="inlineStr"/>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26" t="inlineStr"/>
      <c r="E56" s="16" t="inlineStr"/>
      <c r="F56" s="16" t="inlineStr"/>
      <c r="G56" s="1" t="n"/>
      <c r="H56" s="17" t="inlineStr"/>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25" t="inlineStr"/>
      <c r="E57" s="13" t="inlineStr"/>
      <c r="F57" s="13" t="inlineStr"/>
      <c r="G57" s="1" t="n"/>
      <c r="H57" s="15" t="inlineStr"/>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26" t="inlineStr"/>
      <c r="E58" s="16" t="inlineStr"/>
      <c r="F58" s="16" t="inlineStr"/>
      <c r="G58" s="1" t="n"/>
      <c r="H58" s="17" t="inlineStr"/>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25" t="inlineStr"/>
      <c r="E59" s="13" t="inlineStr"/>
      <c r="F59" s="13" t="inlineStr"/>
      <c r="G59" s="1" t="n"/>
      <c r="H59" s="15" t="inlineStr"/>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26" t="inlineStr"/>
      <c r="E60" s="16" t="inlineStr"/>
      <c r="F60" s="16" t="inlineStr"/>
      <c r="G60" s="1" t="n"/>
      <c r="H60" s="17" t="inlineStr"/>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8" t="inlineStr">
        <is>
          <t>TOTAL VARIABLE</t>
        </is>
      </c>
      <c r="E61" s="1" t="n"/>
      <c r="F61" s="1" t="n"/>
      <c r="G61" s="1" t="n"/>
      <c r="H61" s="19">
        <f>SUM(H31:H60)</f>
        <v/>
      </c>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28" customHeight="1">
      <c r="A63" s="1" t="n"/>
      <c r="B63" s="1" t="n"/>
      <c r="C63" s="1" t="n"/>
      <c r="D63" s="6" t="inlineStr">
        <is>
          <t>MONTHLY SUMMARY</t>
        </is>
      </c>
      <c r="E63" s="6" t="n"/>
      <c r="F63" s="6" t="n"/>
      <c r="G63" s="6" t="n"/>
      <c r="H63" s="6"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2" t="inlineStr">
        <is>
          <t>Total Income</t>
        </is>
      </c>
      <c r="E65" s="13">
        <f>E13</f>
        <v/>
      </c>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2" t="inlineStr">
        <is>
          <t>Total Fixed Expenses</t>
        </is>
      </c>
      <c r="E66" s="13">
        <f>F26</f>
        <v/>
      </c>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2" t="inlineStr">
        <is>
          <t>Total Variable Expenses</t>
        </is>
      </c>
      <c r="E67" s="13">
        <f>H61</f>
        <v/>
      </c>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8" t="inlineStr">
        <is>
          <t>NET (Income - Expenses)</t>
        </is>
      </c>
      <c r="E68" s="19">
        <f>E13-F26-H61</f>
        <v/>
      </c>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autoFilter ref="D30:H60"/>
  <mergeCells count="4">
    <mergeCell ref="D63:H63"/>
    <mergeCell ref="D5:H5"/>
    <mergeCell ref="D15:H15"/>
    <mergeCell ref="D28:H28"/>
  </mergeCells>
  <conditionalFormatting sqref="G18:G25">
    <cfRule type="cellIs" priority="1" operator="greaterThanOrEqual" dxfId="0">
      <formula>0</formula>
    </cfRule>
    <cfRule type="cellIs" priority="2" operator="lessThan" dxfId="1">
      <formula>0</formula>
    </cfRule>
  </conditionalFormatting>
  <dataValidations count="2">
    <dataValidation sqref="D18 D19 D20 D21 D22 D23 D24 D25"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 sqref="E31 E32 E33 E34 E35 E36 E37 E38 E39 E40 E41 E42 E43 E44 E45 E46 E47 E48 E49 E50 E51 E52 E53 E54 E55 E56 E57 E58 E59 E60"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8.xml><?xml version="1.0" encoding="utf-8"?>
<worksheet xmlns="http://schemas.openxmlformats.org/spreadsheetml/2006/main">
  <sheetPr>
    <tabColor rgb="00768975"/>
    <outlinePr summaryBelow="1" summaryRight="1"/>
    <pageSetUpPr/>
  </sheetPr>
  <dimension ref="A1:AC7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APRIL INCOME</t>
        </is>
      </c>
      <c r="E5" s="6" t="n"/>
      <c r="F5" s="6" t="n"/>
      <c r="G5" s="6" t="n"/>
      <c r="H5" s="6" t="n"/>
      <c r="I5" s="1" t="n"/>
      <c r="J5" s="1"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Source</t>
        </is>
      </c>
      <c r="E7" s="14" t="inlineStr">
        <is>
          <t>Amount</t>
        </is>
      </c>
      <c r="F7" s="14" t="inlineStr">
        <is>
          <t>Date Received</t>
        </is>
      </c>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3" t="inlineStr">
        <is>
          <t>Salary</t>
        </is>
      </c>
      <c r="E8" s="27"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6" t="inlineStr">
        <is>
          <t>Side Hustle</t>
        </is>
      </c>
      <c r="E9" s="27"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3" t="inlineStr">
        <is>
          <t>Freelance</t>
        </is>
      </c>
      <c r="E10" s="27"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6" t="inlineStr">
        <is>
          <t>Investments</t>
        </is>
      </c>
      <c r="E11" s="27"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is>
          <t>Other</t>
        </is>
      </c>
      <c r="E12" s="27"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8" t="inlineStr">
        <is>
          <t>TOTAL INCOME</t>
        </is>
      </c>
      <c r="E13" s="19">
        <f>SUM(E8:E12)</f>
        <v/>
      </c>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28" customHeight="1">
      <c r="A15" s="1" t="n"/>
      <c r="B15" s="10" t="inlineStr">
        <is>
          <t>March</t>
        </is>
      </c>
      <c r="C15" s="1" t="n"/>
      <c r="D15" s="6" t="inlineStr">
        <is>
          <t>FIXED EXPENSES</t>
        </is>
      </c>
      <c r="E15" s="6" t="n"/>
      <c r="F15" s="6" t="n"/>
      <c r="G15" s="6" t="n"/>
      <c r="H15" s="6"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1" t="inlineStr">
        <is>
          <t>April</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4" t="inlineStr">
        <is>
          <t>Category</t>
        </is>
      </c>
      <c r="E17" s="14" t="inlineStr">
        <is>
          <t>Budget</t>
        </is>
      </c>
      <c r="F17" s="14" t="inlineStr">
        <is>
          <t>Actual</t>
        </is>
      </c>
      <c r="G17" s="14" t="inlineStr">
        <is>
          <t>Difference</t>
        </is>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3" t="inlineStr"/>
      <c r="E18" s="27" t="n"/>
      <c r="F18" s="27" t="n"/>
      <c r="G18" s="13">
        <f>E18-F18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6" t="inlineStr"/>
      <c r="E19" s="27" t="n"/>
      <c r="F19" s="27" t="n"/>
      <c r="G19" s="16">
        <f>E19-F19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3" t="inlineStr"/>
      <c r="E20" s="27" t="n"/>
      <c r="F20" s="27" t="n"/>
      <c r="G20" s="13">
        <f>E20-F20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6" t="inlineStr"/>
      <c r="E21" s="27" t="n"/>
      <c r="F21" s="27" t="n"/>
      <c r="G21" s="16">
        <f>E21-F21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3" t="inlineStr"/>
      <c r="E22" s="27" t="n"/>
      <c r="F22" s="27" t="n"/>
      <c r="G22" s="13">
        <f>E22-F22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6" t="inlineStr"/>
      <c r="E23" s="27" t="n"/>
      <c r="F23" s="27" t="n"/>
      <c r="G23" s="16">
        <f>E23-F23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3" t="inlineStr"/>
      <c r="E24" s="27" t="n"/>
      <c r="F24" s="27" t="n"/>
      <c r="G24" s="13">
        <f>E24-F24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6" t="inlineStr"/>
      <c r="E25" s="27" t="n"/>
      <c r="F25" s="27" t="n"/>
      <c r="G25" s="16">
        <f>E25-F25</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8" t="inlineStr">
        <is>
          <t>TOTAL FIXED</t>
        </is>
      </c>
      <c r="E26" s="19">
        <f>SUM(E18:E25)</f>
        <v/>
      </c>
      <c r="F26" s="19">
        <f>SUM(F18:F25)</f>
        <v/>
      </c>
      <c r="G26" s="19">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28" customHeight="1">
      <c r="A28" s="1" t="n"/>
      <c r="B28" s="10" t="inlineStr">
        <is>
          <t>Expense Dist</t>
        </is>
      </c>
      <c r="C28" s="1" t="n"/>
      <c r="D28" s="6" t="inlineStr">
        <is>
          <t>VARIABLE EXPENSES</t>
        </is>
      </c>
      <c r="E28" s="6" t="n"/>
      <c r="F28" s="6" t="n"/>
      <c r="G28" s="6" t="n"/>
      <c r="H28" s="6"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4" t="inlineStr">
        <is>
          <t>Date</t>
        </is>
      </c>
      <c r="E30" s="14" t="inlineStr">
        <is>
          <t>Category</t>
        </is>
      </c>
      <c r="F30" s="14" t="inlineStr">
        <is>
          <t>Description</t>
        </is>
      </c>
      <c r="G30" s="14" t="inlineStr">
        <is>
          <t>Amount</t>
        </is>
      </c>
      <c r="H30" s="14" t="inlineStr">
        <is>
          <t>Amount</t>
        </is>
      </c>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25" t="inlineStr"/>
      <c r="E31" s="13" t="inlineStr"/>
      <c r="F31" s="13" t="inlineStr"/>
      <c r="G31" s="1" t="n"/>
      <c r="H31" s="15" t="inlineStr"/>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26" t="inlineStr"/>
      <c r="E32" s="16" t="inlineStr"/>
      <c r="F32" s="16" t="inlineStr"/>
      <c r="G32" s="1" t="n"/>
      <c r="H32" s="17" t="inlineStr"/>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25" t="inlineStr"/>
      <c r="E33" s="13" t="inlineStr"/>
      <c r="F33" s="13" t="inlineStr"/>
      <c r="G33" s="1" t="n"/>
      <c r="H33" s="15" t="inlineStr"/>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26" t="inlineStr"/>
      <c r="E34" s="16" t="inlineStr"/>
      <c r="F34" s="16" t="inlineStr"/>
      <c r="G34" s="1" t="n"/>
      <c r="H34" s="17" t="inlineStr"/>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25" t="inlineStr"/>
      <c r="E35" s="13" t="inlineStr"/>
      <c r="F35" s="13" t="inlineStr"/>
      <c r="G35" s="1" t="n"/>
      <c r="H35" s="15" t="inlineStr"/>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26" t="inlineStr"/>
      <c r="E36" s="16" t="inlineStr"/>
      <c r="F36" s="16" t="inlineStr"/>
      <c r="G36" s="1" t="n"/>
      <c r="H36" s="17" t="inlineStr"/>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25" t="inlineStr"/>
      <c r="E37" s="13" t="inlineStr"/>
      <c r="F37" s="13" t="inlineStr"/>
      <c r="G37" s="1" t="n"/>
      <c r="H37" s="15" t="inlineStr"/>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26" t="inlineStr"/>
      <c r="E38" s="16" t="inlineStr"/>
      <c r="F38" s="16" t="inlineStr"/>
      <c r="G38" s="1" t="n"/>
      <c r="H38" s="17" t="inlineStr"/>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25" t="inlineStr"/>
      <c r="E39" s="13" t="inlineStr"/>
      <c r="F39" s="13" t="inlineStr"/>
      <c r="G39" s="1" t="n"/>
      <c r="H39" s="15" t="inlineStr"/>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26" t="inlineStr"/>
      <c r="E40" s="16" t="inlineStr"/>
      <c r="F40" s="16" t="inlineStr"/>
      <c r="G40" s="1" t="n"/>
      <c r="H40" s="17" t="inlineStr"/>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25" t="inlineStr"/>
      <c r="E41" s="13" t="inlineStr"/>
      <c r="F41" s="13" t="inlineStr"/>
      <c r="G41" s="1" t="n"/>
      <c r="H41" s="15" t="inlineStr"/>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26" t="inlineStr"/>
      <c r="E42" s="16" t="inlineStr"/>
      <c r="F42" s="16" t="inlineStr"/>
      <c r="G42" s="1" t="n"/>
      <c r="H42" s="17" t="inlineStr"/>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25" t="inlineStr"/>
      <c r="E43" s="13" t="inlineStr"/>
      <c r="F43" s="13" t="inlineStr"/>
      <c r="G43" s="1" t="n"/>
      <c r="H43" s="15" t="inlineStr"/>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26" t="inlineStr"/>
      <c r="E44" s="16" t="inlineStr"/>
      <c r="F44" s="16" t="inlineStr"/>
      <c r="G44" s="1" t="n"/>
      <c r="H44" s="17" t="inlineStr"/>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25" t="inlineStr"/>
      <c r="E45" s="13" t="inlineStr"/>
      <c r="F45" s="13" t="inlineStr"/>
      <c r="G45" s="1" t="n"/>
      <c r="H45" s="15" t="inlineStr"/>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26" t="inlineStr"/>
      <c r="E46" s="16" t="inlineStr"/>
      <c r="F46" s="16" t="inlineStr"/>
      <c r="G46" s="1" t="n"/>
      <c r="H46" s="17" t="inlineStr"/>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25" t="inlineStr"/>
      <c r="E47" s="13" t="inlineStr"/>
      <c r="F47" s="13" t="inlineStr"/>
      <c r="G47" s="1" t="n"/>
      <c r="H47" s="15" t="inlineStr"/>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26" t="inlineStr"/>
      <c r="E48" s="16" t="inlineStr"/>
      <c r="F48" s="16" t="inlineStr"/>
      <c r="G48" s="1" t="n"/>
      <c r="H48" s="17" t="inlineStr"/>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25" t="inlineStr"/>
      <c r="E49" s="13" t="inlineStr"/>
      <c r="F49" s="13" t="inlineStr"/>
      <c r="G49" s="1" t="n"/>
      <c r="H49" s="15" t="inlineStr"/>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26" t="inlineStr"/>
      <c r="E50" s="16" t="inlineStr"/>
      <c r="F50" s="16" t="inlineStr"/>
      <c r="G50" s="1" t="n"/>
      <c r="H50" s="17" t="inlineStr"/>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25" t="inlineStr"/>
      <c r="E51" s="13" t="inlineStr"/>
      <c r="F51" s="13" t="inlineStr"/>
      <c r="G51" s="1" t="n"/>
      <c r="H51" s="15" t="inlineStr"/>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26" t="inlineStr"/>
      <c r="E52" s="16" t="inlineStr"/>
      <c r="F52" s="16" t="inlineStr"/>
      <c r="G52" s="1" t="n"/>
      <c r="H52" s="17" t="inlineStr"/>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25" t="inlineStr"/>
      <c r="E53" s="13" t="inlineStr"/>
      <c r="F53" s="13" t="inlineStr"/>
      <c r="G53" s="1" t="n"/>
      <c r="H53" s="15" t="inlineStr"/>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26" t="inlineStr"/>
      <c r="E54" s="16" t="inlineStr"/>
      <c r="F54" s="16" t="inlineStr"/>
      <c r="G54" s="1" t="n"/>
      <c r="H54" s="17" t="inlineStr"/>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25" t="inlineStr"/>
      <c r="E55" s="13" t="inlineStr"/>
      <c r="F55" s="13" t="inlineStr"/>
      <c r="G55" s="1" t="n"/>
      <c r="H55" s="15" t="inlineStr"/>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26" t="inlineStr"/>
      <c r="E56" s="16" t="inlineStr"/>
      <c r="F56" s="16" t="inlineStr"/>
      <c r="G56" s="1" t="n"/>
      <c r="H56" s="17" t="inlineStr"/>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25" t="inlineStr"/>
      <c r="E57" s="13" t="inlineStr"/>
      <c r="F57" s="13" t="inlineStr"/>
      <c r="G57" s="1" t="n"/>
      <c r="H57" s="15" t="inlineStr"/>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26" t="inlineStr"/>
      <c r="E58" s="16" t="inlineStr"/>
      <c r="F58" s="16" t="inlineStr"/>
      <c r="G58" s="1" t="n"/>
      <c r="H58" s="17" t="inlineStr"/>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25" t="inlineStr"/>
      <c r="E59" s="13" t="inlineStr"/>
      <c r="F59" s="13" t="inlineStr"/>
      <c r="G59" s="1" t="n"/>
      <c r="H59" s="15" t="inlineStr"/>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26" t="inlineStr"/>
      <c r="E60" s="16" t="inlineStr"/>
      <c r="F60" s="16" t="inlineStr"/>
      <c r="G60" s="1" t="n"/>
      <c r="H60" s="17" t="inlineStr"/>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8" t="inlineStr">
        <is>
          <t>TOTAL VARIABLE</t>
        </is>
      </c>
      <c r="E61" s="1" t="n"/>
      <c r="F61" s="1" t="n"/>
      <c r="G61" s="1" t="n"/>
      <c r="H61" s="19">
        <f>SUM(H31:H60)</f>
        <v/>
      </c>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28" customHeight="1">
      <c r="A63" s="1" t="n"/>
      <c r="B63" s="1" t="n"/>
      <c r="C63" s="1" t="n"/>
      <c r="D63" s="6" t="inlineStr">
        <is>
          <t>MONTHLY SUMMARY</t>
        </is>
      </c>
      <c r="E63" s="6" t="n"/>
      <c r="F63" s="6" t="n"/>
      <c r="G63" s="6" t="n"/>
      <c r="H63" s="6"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2" t="inlineStr">
        <is>
          <t>Total Income</t>
        </is>
      </c>
      <c r="E65" s="13">
        <f>E13</f>
        <v/>
      </c>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2" t="inlineStr">
        <is>
          <t>Total Fixed Expenses</t>
        </is>
      </c>
      <c r="E66" s="13">
        <f>F26</f>
        <v/>
      </c>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2" t="inlineStr">
        <is>
          <t>Total Variable Expenses</t>
        </is>
      </c>
      <c r="E67" s="13">
        <f>H61</f>
        <v/>
      </c>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8" t="inlineStr">
        <is>
          <t>NET (Income - Expenses)</t>
        </is>
      </c>
      <c r="E68" s="19">
        <f>E13-F26-H61</f>
        <v/>
      </c>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autoFilter ref="D30:H60"/>
  <mergeCells count="4">
    <mergeCell ref="D63:H63"/>
    <mergeCell ref="D5:H5"/>
    <mergeCell ref="D15:H15"/>
    <mergeCell ref="D28:H28"/>
  </mergeCells>
  <conditionalFormatting sqref="G18:G25">
    <cfRule type="cellIs" priority="1" operator="greaterThanOrEqual" dxfId="0">
      <formula>0</formula>
    </cfRule>
    <cfRule type="cellIs" priority="2" operator="lessThan" dxfId="1">
      <formula>0</formula>
    </cfRule>
  </conditionalFormatting>
  <dataValidations count="2">
    <dataValidation sqref="D18 D19 D20 D21 D22 D23 D24 D25"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 sqref="E31 E32 E33 E34 E35 E36 E37 E38 E39 E40 E41 E42 E43 E44 E45 E46 E47 E48 E49 E50 E51 E52 E53 E54 E55 E56 E57 E58 E59 E60"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9.xml><?xml version="1.0" encoding="utf-8"?>
<worksheet xmlns="http://schemas.openxmlformats.org/spreadsheetml/2006/main">
  <sheetPr>
    <tabColor rgb="00768975"/>
    <outlinePr summaryBelow="1" summaryRight="1"/>
    <pageSetUpPr/>
  </sheetPr>
  <dimension ref="A1:AC7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MAY INCOME</t>
        </is>
      </c>
      <c r="E5" s="6" t="n"/>
      <c r="F5" s="6" t="n"/>
      <c r="G5" s="6" t="n"/>
      <c r="H5" s="6" t="n"/>
      <c r="I5" s="1" t="n"/>
      <c r="J5" s="1"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Source</t>
        </is>
      </c>
      <c r="E7" s="14" t="inlineStr">
        <is>
          <t>Amount</t>
        </is>
      </c>
      <c r="F7" s="14" t="inlineStr">
        <is>
          <t>Date Received</t>
        </is>
      </c>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3" t="inlineStr">
        <is>
          <t>Salary</t>
        </is>
      </c>
      <c r="E8" s="27"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6" t="inlineStr">
        <is>
          <t>Side Hustle</t>
        </is>
      </c>
      <c r="E9" s="27"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3" t="inlineStr">
        <is>
          <t>Freelance</t>
        </is>
      </c>
      <c r="E10" s="27"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6" t="inlineStr">
        <is>
          <t>Investments</t>
        </is>
      </c>
      <c r="E11" s="27"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is>
          <t>Other</t>
        </is>
      </c>
      <c r="E12" s="27"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8" t="inlineStr">
        <is>
          <t>TOTAL INCOME</t>
        </is>
      </c>
      <c r="E13" s="19">
        <f>SUM(E8:E12)</f>
        <v/>
      </c>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28" customHeight="1">
      <c r="A15" s="1" t="n"/>
      <c r="B15" s="10" t="inlineStr">
        <is>
          <t>March</t>
        </is>
      </c>
      <c r="C15" s="1" t="n"/>
      <c r="D15" s="6" t="inlineStr">
        <is>
          <t>FIXED EXPENSES</t>
        </is>
      </c>
      <c r="E15" s="6" t="n"/>
      <c r="F15" s="6" t="n"/>
      <c r="G15" s="6" t="n"/>
      <c r="H15" s="6"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1" t="inlineStr">
        <is>
          <t>May</t>
        </is>
      </c>
      <c r="C17" s="1" t="n"/>
      <c r="D17" s="14" t="inlineStr">
        <is>
          <t>Category</t>
        </is>
      </c>
      <c r="E17" s="14" t="inlineStr">
        <is>
          <t>Budget</t>
        </is>
      </c>
      <c r="F17" s="14" t="inlineStr">
        <is>
          <t>Actual</t>
        </is>
      </c>
      <c r="G17" s="14" t="inlineStr">
        <is>
          <t>Difference</t>
        </is>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3" t="inlineStr"/>
      <c r="E18" s="27" t="n"/>
      <c r="F18" s="27" t="n"/>
      <c r="G18" s="13">
        <f>E18-F18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6" t="inlineStr"/>
      <c r="E19" s="27" t="n"/>
      <c r="F19" s="27" t="n"/>
      <c r="G19" s="16">
        <f>E19-F19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3" t="inlineStr"/>
      <c r="E20" s="27" t="n"/>
      <c r="F20" s="27" t="n"/>
      <c r="G20" s="13">
        <f>E20-F20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6" t="inlineStr"/>
      <c r="E21" s="27" t="n"/>
      <c r="F21" s="27" t="n"/>
      <c r="G21" s="16">
        <f>E21-F21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3" t="inlineStr"/>
      <c r="E22" s="27" t="n"/>
      <c r="F22" s="27" t="n"/>
      <c r="G22" s="13">
        <f>E22-F22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6" t="inlineStr"/>
      <c r="E23" s="27" t="n"/>
      <c r="F23" s="27" t="n"/>
      <c r="G23" s="16">
        <f>E23-F23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3" t="inlineStr"/>
      <c r="E24" s="27" t="n"/>
      <c r="F24" s="27" t="n"/>
      <c r="G24" s="13">
        <f>E24-F24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6" t="inlineStr"/>
      <c r="E25" s="27" t="n"/>
      <c r="F25" s="27" t="n"/>
      <c r="G25" s="16">
        <f>E25-F25</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8" t="inlineStr">
        <is>
          <t>TOTAL FIXED</t>
        </is>
      </c>
      <c r="E26" s="19">
        <f>SUM(E18:E25)</f>
        <v/>
      </c>
      <c r="F26" s="19">
        <f>SUM(F18:F25)</f>
        <v/>
      </c>
      <c r="G26" s="19">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28" customHeight="1">
      <c r="A28" s="1" t="n"/>
      <c r="B28" s="10" t="inlineStr">
        <is>
          <t>Expense Dist</t>
        </is>
      </c>
      <c r="C28" s="1" t="n"/>
      <c r="D28" s="6" t="inlineStr">
        <is>
          <t>VARIABLE EXPENSES</t>
        </is>
      </c>
      <c r="E28" s="6" t="n"/>
      <c r="F28" s="6" t="n"/>
      <c r="G28" s="6" t="n"/>
      <c r="H28" s="6"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4" t="inlineStr">
        <is>
          <t>Date</t>
        </is>
      </c>
      <c r="E30" s="14" t="inlineStr">
        <is>
          <t>Category</t>
        </is>
      </c>
      <c r="F30" s="14" t="inlineStr">
        <is>
          <t>Description</t>
        </is>
      </c>
      <c r="G30" s="14" t="inlineStr">
        <is>
          <t>Amount</t>
        </is>
      </c>
      <c r="H30" s="14" t="inlineStr">
        <is>
          <t>Amount</t>
        </is>
      </c>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25" t="inlineStr"/>
      <c r="E31" s="13" t="inlineStr"/>
      <c r="F31" s="13" t="inlineStr"/>
      <c r="G31" s="1" t="n"/>
      <c r="H31" s="15" t="inlineStr"/>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26" t="inlineStr"/>
      <c r="E32" s="16" t="inlineStr"/>
      <c r="F32" s="16" t="inlineStr"/>
      <c r="G32" s="1" t="n"/>
      <c r="H32" s="17" t="inlineStr"/>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25" t="inlineStr"/>
      <c r="E33" s="13" t="inlineStr"/>
      <c r="F33" s="13" t="inlineStr"/>
      <c r="G33" s="1" t="n"/>
      <c r="H33" s="15" t="inlineStr"/>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26" t="inlineStr"/>
      <c r="E34" s="16" t="inlineStr"/>
      <c r="F34" s="16" t="inlineStr"/>
      <c r="G34" s="1" t="n"/>
      <c r="H34" s="17" t="inlineStr"/>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25" t="inlineStr"/>
      <c r="E35" s="13" t="inlineStr"/>
      <c r="F35" s="13" t="inlineStr"/>
      <c r="G35" s="1" t="n"/>
      <c r="H35" s="15" t="inlineStr"/>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26" t="inlineStr"/>
      <c r="E36" s="16" t="inlineStr"/>
      <c r="F36" s="16" t="inlineStr"/>
      <c r="G36" s="1" t="n"/>
      <c r="H36" s="17" t="inlineStr"/>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25" t="inlineStr"/>
      <c r="E37" s="13" t="inlineStr"/>
      <c r="F37" s="13" t="inlineStr"/>
      <c r="G37" s="1" t="n"/>
      <c r="H37" s="15" t="inlineStr"/>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26" t="inlineStr"/>
      <c r="E38" s="16" t="inlineStr"/>
      <c r="F38" s="16" t="inlineStr"/>
      <c r="G38" s="1" t="n"/>
      <c r="H38" s="17" t="inlineStr"/>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25" t="inlineStr"/>
      <c r="E39" s="13" t="inlineStr"/>
      <c r="F39" s="13" t="inlineStr"/>
      <c r="G39" s="1" t="n"/>
      <c r="H39" s="15" t="inlineStr"/>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26" t="inlineStr"/>
      <c r="E40" s="16" t="inlineStr"/>
      <c r="F40" s="16" t="inlineStr"/>
      <c r="G40" s="1" t="n"/>
      <c r="H40" s="17" t="inlineStr"/>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25" t="inlineStr"/>
      <c r="E41" s="13" t="inlineStr"/>
      <c r="F41" s="13" t="inlineStr"/>
      <c r="G41" s="1" t="n"/>
      <c r="H41" s="15" t="inlineStr"/>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26" t="inlineStr"/>
      <c r="E42" s="16" t="inlineStr"/>
      <c r="F42" s="16" t="inlineStr"/>
      <c r="G42" s="1" t="n"/>
      <c r="H42" s="17" t="inlineStr"/>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25" t="inlineStr"/>
      <c r="E43" s="13" t="inlineStr"/>
      <c r="F43" s="13" t="inlineStr"/>
      <c r="G43" s="1" t="n"/>
      <c r="H43" s="15" t="inlineStr"/>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26" t="inlineStr"/>
      <c r="E44" s="16" t="inlineStr"/>
      <c r="F44" s="16" t="inlineStr"/>
      <c r="G44" s="1" t="n"/>
      <c r="H44" s="17" t="inlineStr"/>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25" t="inlineStr"/>
      <c r="E45" s="13" t="inlineStr"/>
      <c r="F45" s="13" t="inlineStr"/>
      <c r="G45" s="1" t="n"/>
      <c r="H45" s="15" t="inlineStr"/>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26" t="inlineStr"/>
      <c r="E46" s="16" t="inlineStr"/>
      <c r="F46" s="16" t="inlineStr"/>
      <c r="G46" s="1" t="n"/>
      <c r="H46" s="17" t="inlineStr"/>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25" t="inlineStr"/>
      <c r="E47" s="13" t="inlineStr"/>
      <c r="F47" s="13" t="inlineStr"/>
      <c r="G47" s="1" t="n"/>
      <c r="H47" s="15" t="inlineStr"/>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26" t="inlineStr"/>
      <c r="E48" s="16" t="inlineStr"/>
      <c r="F48" s="16" t="inlineStr"/>
      <c r="G48" s="1" t="n"/>
      <c r="H48" s="17" t="inlineStr"/>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25" t="inlineStr"/>
      <c r="E49" s="13" t="inlineStr"/>
      <c r="F49" s="13" t="inlineStr"/>
      <c r="G49" s="1" t="n"/>
      <c r="H49" s="15" t="inlineStr"/>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26" t="inlineStr"/>
      <c r="E50" s="16" t="inlineStr"/>
      <c r="F50" s="16" t="inlineStr"/>
      <c r="G50" s="1" t="n"/>
      <c r="H50" s="17" t="inlineStr"/>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25" t="inlineStr"/>
      <c r="E51" s="13" t="inlineStr"/>
      <c r="F51" s="13" t="inlineStr"/>
      <c r="G51" s="1" t="n"/>
      <c r="H51" s="15" t="inlineStr"/>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26" t="inlineStr"/>
      <c r="E52" s="16" t="inlineStr"/>
      <c r="F52" s="16" t="inlineStr"/>
      <c r="G52" s="1" t="n"/>
      <c r="H52" s="17" t="inlineStr"/>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25" t="inlineStr"/>
      <c r="E53" s="13" t="inlineStr"/>
      <c r="F53" s="13" t="inlineStr"/>
      <c r="G53" s="1" t="n"/>
      <c r="H53" s="15" t="inlineStr"/>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26" t="inlineStr"/>
      <c r="E54" s="16" t="inlineStr"/>
      <c r="F54" s="16" t="inlineStr"/>
      <c r="G54" s="1" t="n"/>
      <c r="H54" s="17" t="inlineStr"/>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25" t="inlineStr"/>
      <c r="E55" s="13" t="inlineStr"/>
      <c r="F55" s="13" t="inlineStr"/>
      <c r="G55" s="1" t="n"/>
      <c r="H55" s="15" t="inlineStr"/>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26" t="inlineStr"/>
      <c r="E56" s="16" t="inlineStr"/>
      <c r="F56" s="16" t="inlineStr"/>
      <c r="G56" s="1" t="n"/>
      <c r="H56" s="17" t="inlineStr"/>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25" t="inlineStr"/>
      <c r="E57" s="13" t="inlineStr"/>
      <c r="F57" s="13" t="inlineStr"/>
      <c r="G57" s="1" t="n"/>
      <c r="H57" s="15" t="inlineStr"/>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26" t="inlineStr"/>
      <c r="E58" s="16" t="inlineStr"/>
      <c r="F58" s="16" t="inlineStr"/>
      <c r="G58" s="1" t="n"/>
      <c r="H58" s="17" t="inlineStr"/>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25" t="inlineStr"/>
      <c r="E59" s="13" t="inlineStr"/>
      <c r="F59" s="13" t="inlineStr"/>
      <c r="G59" s="1" t="n"/>
      <c r="H59" s="15" t="inlineStr"/>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26" t="inlineStr"/>
      <c r="E60" s="16" t="inlineStr"/>
      <c r="F60" s="16" t="inlineStr"/>
      <c r="G60" s="1" t="n"/>
      <c r="H60" s="17" t="inlineStr"/>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8" t="inlineStr">
        <is>
          <t>TOTAL VARIABLE</t>
        </is>
      </c>
      <c r="E61" s="1" t="n"/>
      <c r="F61" s="1" t="n"/>
      <c r="G61" s="1" t="n"/>
      <c r="H61" s="19">
        <f>SUM(H31:H60)</f>
        <v/>
      </c>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28" customHeight="1">
      <c r="A63" s="1" t="n"/>
      <c r="B63" s="1" t="n"/>
      <c r="C63" s="1" t="n"/>
      <c r="D63" s="6" t="inlineStr">
        <is>
          <t>MONTHLY SUMMARY</t>
        </is>
      </c>
      <c r="E63" s="6" t="n"/>
      <c r="F63" s="6" t="n"/>
      <c r="G63" s="6" t="n"/>
      <c r="H63" s="6"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2" t="inlineStr">
        <is>
          <t>Total Income</t>
        </is>
      </c>
      <c r="E65" s="13">
        <f>E13</f>
        <v/>
      </c>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2" t="inlineStr">
        <is>
          <t>Total Fixed Expenses</t>
        </is>
      </c>
      <c r="E66" s="13">
        <f>F26</f>
        <v/>
      </c>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2" t="inlineStr">
        <is>
          <t>Total Variable Expenses</t>
        </is>
      </c>
      <c r="E67" s="13">
        <f>H61</f>
        <v/>
      </c>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8" t="inlineStr">
        <is>
          <t>NET (Income - Expenses)</t>
        </is>
      </c>
      <c r="E68" s="19">
        <f>E13-F26-H61</f>
        <v/>
      </c>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autoFilter ref="D30:H60"/>
  <mergeCells count="4">
    <mergeCell ref="D63:H63"/>
    <mergeCell ref="D5:H5"/>
    <mergeCell ref="D15:H15"/>
    <mergeCell ref="D28:H28"/>
  </mergeCells>
  <conditionalFormatting sqref="G18:G25">
    <cfRule type="cellIs" priority="1" operator="greaterThanOrEqual" dxfId="0">
      <formula>0</formula>
    </cfRule>
    <cfRule type="cellIs" priority="2" operator="lessThan" dxfId="1">
      <formula>0</formula>
    </cfRule>
  </conditionalFormatting>
  <dataValidations count="2">
    <dataValidation sqref="D18 D19 D20 D21 D22 D23 D24 D25"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 sqref="E31 E32 E33 E34 E35 E36 E37 E38 E39 E40 E41 E42 E43 E44 E45 E46 E47 E48 E49 E50 E51 E52 E53 E54 E55 E56 E57 E58 E59 E60"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10.xml><?xml version="1.0" encoding="utf-8"?>
<worksheet xmlns="http://schemas.openxmlformats.org/spreadsheetml/2006/main">
  <sheetPr>
    <tabColor rgb="00768975"/>
    <outlinePr summaryBelow="1" summaryRight="1"/>
    <pageSetUpPr/>
  </sheetPr>
  <dimension ref="A1:AC7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JUNE INCOME</t>
        </is>
      </c>
      <c r="E5" s="6" t="n"/>
      <c r="F5" s="6" t="n"/>
      <c r="G5" s="6" t="n"/>
      <c r="H5" s="6" t="n"/>
      <c r="I5" s="1" t="n"/>
      <c r="J5" s="1"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Source</t>
        </is>
      </c>
      <c r="E7" s="14" t="inlineStr">
        <is>
          <t>Amount</t>
        </is>
      </c>
      <c r="F7" s="14" t="inlineStr">
        <is>
          <t>Date Received</t>
        </is>
      </c>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3" t="inlineStr">
        <is>
          <t>Salary</t>
        </is>
      </c>
      <c r="E8" s="27"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6" t="inlineStr">
        <is>
          <t>Side Hustle</t>
        </is>
      </c>
      <c r="E9" s="27"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3" t="inlineStr">
        <is>
          <t>Freelance</t>
        </is>
      </c>
      <c r="E10" s="27"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6" t="inlineStr">
        <is>
          <t>Investments</t>
        </is>
      </c>
      <c r="E11" s="27"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is>
          <t>Other</t>
        </is>
      </c>
      <c r="E12" s="27"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8" t="inlineStr">
        <is>
          <t>TOTAL INCOME</t>
        </is>
      </c>
      <c r="E13" s="19">
        <f>SUM(E8:E12)</f>
        <v/>
      </c>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28" customHeight="1">
      <c r="A15" s="1" t="n"/>
      <c r="B15" s="10" t="inlineStr">
        <is>
          <t>March</t>
        </is>
      </c>
      <c r="C15" s="1" t="n"/>
      <c r="D15" s="6" t="inlineStr">
        <is>
          <t>FIXED EXPENSES</t>
        </is>
      </c>
      <c r="E15" s="6" t="n"/>
      <c r="F15" s="6" t="n"/>
      <c r="G15" s="6" t="n"/>
      <c r="H15" s="6"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4" t="inlineStr">
        <is>
          <t>Category</t>
        </is>
      </c>
      <c r="E17" s="14" t="inlineStr">
        <is>
          <t>Budget</t>
        </is>
      </c>
      <c r="F17" s="14" t="inlineStr">
        <is>
          <t>Actual</t>
        </is>
      </c>
      <c r="G17" s="14" t="inlineStr">
        <is>
          <t>Difference</t>
        </is>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1" t="inlineStr">
        <is>
          <t>June</t>
        </is>
      </c>
      <c r="C18" s="1" t="n"/>
      <c r="D18" s="13" t="inlineStr"/>
      <c r="E18" s="27" t="n"/>
      <c r="F18" s="27" t="n"/>
      <c r="G18" s="13">
        <f>E18-F18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6" t="inlineStr"/>
      <c r="E19" s="27" t="n"/>
      <c r="F19" s="27" t="n"/>
      <c r="G19" s="16">
        <f>E19-F19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3" t="inlineStr"/>
      <c r="E20" s="27" t="n"/>
      <c r="F20" s="27" t="n"/>
      <c r="G20" s="13">
        <f>E20-F20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6" t="inlineStr"/>
      <c r="E21" s="27" t="n"/>
      <c r="F21" s="27" t="n"/>
      <c r="G21" s="16">
        <f>E21-F21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3" t="inlineStr"/>
      <c r="E22" s="27" t="n"/>
      <c r="F22" s="27" t="n"/>
      <c r="G22" s="13">
        <f>E22-F22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6" t="inlineStr"/>
      <c r="E23" s="27" t="n"/>
      <c r="F23" s="27" t="n"/>
      <c r="G23" s="16">
        <f>E23-F23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3" t="inlineStr"/>
      <c r="E24" s="27" t="n"/>
      <c r="F24" s="27" t="n"/>
      <c r="G24" s="13">
        <f>E24-F24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6" t="inlineStr"/>
      <c r="E25" s="27" t="n"/>
      <c r="F25" s="27" t="n"/>
      <c r="G25" s="16">
        <f>E25-F25</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8" t="inlineStr">
        <is>
          <t>TOTAL FIXED</t>
        </is>
      </c>
      <c r="E26" s="19">
        <f>SUM(E18:E25)</f>
        <v/>
      </c>
      <c r="F26" s="19">
        <f>SUM(F18:F25)</f>
        <v/>
      </c>
      <c r="G26" s="19">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28" customHeight="1">
      <c r="A28" s="1" t="n"/>
      <c r="B28" s="10" t="inlineStr">
        <is>
          <t>Expense Dist</t>
        </is>
      </c>
      <c r="C28" s="1" t="n"/>
      <c r="D28" s="6" t="inlineStr">
        <is>
          <t>VARIABLE EXPENSES</t>
        </is>
      </c>
      <c r="E28" s="6" t="n"/>
      <c r="F28" s="6" t="n"/>
      <c r="G28" s="6" t="n"/>
      <c r="H28" s="6"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4" t="inlineStr">
        <is>
          <t>Date</t>
        </is>
      </c>
      <c r="E30" s="14" t="inlineStr">
        <is>
          <t>Category</t>
        </is>
      </c>
      <c r="F30" s="14" t="inlineStr">
        <is>
          <t>Description</t>
        </is>
      </c>
      <c r="G30" s="14" t="inlineStr">
        <is>
          <t>Amount</t>
        </is>
      </c>
      <c r="H30" s="14" t="inlineStr">
        <is>
          <t>Amount</t>
        </is>
      </c>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25" t="inlineStr"/>
      <c r="E31" s="13" t="inlineStr"/>
      <c r="F31" s="13" t="inlineStr"/>
      <c r="G31" s="1" t="n"/>
      <c r="H31" s="15" t="inlineStr"/>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26" t="inlineStr"/>
      <c r="E32" s="16" t="inlineStr"/>
      <c r="F32" s="16" t="inlineStr"/>
      <c r="G32" s="1" t="n"/>
      <c r="H32" s="17" t="inlineStr"/>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25" t="inlineStr"/>
      <c r="E33" s="13" t="inlineStr"/>
      <c r="F33" s="13" t="inlineStr"/>
      <c r="G33" s="1" t="n"/>
      <c r="H33" s="15" t="inlineStr"/>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26" t="inlineStr"/>
      <c r="E34" s="16" t="inlineStr"/>
      <c r="F34" s="16" t="inlineStr"/>
      <c r="G34" s="1" t="n"/>
      <c r="H34" s="17" t="inlineStr"/>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25" t="inlineStr"/>
      <c r="E35" s="13" t="inlineStr"/>
      <c r="F35" s="13" t="inlineStr"/>
      <c r="G35" s="1" t="n"/>
      <c r="H35" s="15" t="inlineStr"/>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26" t="inlineStr"/>
      <c r="E36" s="16" t="inlineStr"/>
      <c r="F36" s="16" t="inlineStr"/>
      <c r="G36" s="1" t="n"/>
      <c r="H36" s="17" t="inlineStr"/>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25" t="inlineStr"/>
      <c r="E37" s="13" t="inlineStr"/>
      <c r="F37" s="13" t="inlineStr"/>
      <c r="G37" s="1" t="n"/>
      <c r="H37" s="15" t="inlineStr"/>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26" t="inlineStr"/>
      <c r="E38" s="16" t="inlineStr"/>
      <c r="F38" s="16" t="inlineStr"/>
      <c r="G38" s="1" t="n"/>
      <c r="H38" s="17" t="inlineStr"/>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25" t="inlineStr"/>
      <c r="E39" s="13" t="inlineStr"/>
      <c r="F39" s="13" t="inlineStr"/>
      <c r="G39" s="1" t="n"/>
      <c r="H39" s="15" t="inlineStr"/>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26" t="inlineStr"/>
      <c r="E40" s="16" t="inlineStr"/>
      <c r="F40" s="16" t="inlineStr"/>
      <c r="G40" s="1" t="n"/>
      <c r="H40" s="17" t="inlineStr"/>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25" t="inlineStr"/>
      <c r="E41" s="13" t="inlineStr"/>
      <c r="F41" s="13" t="inlineStr"/>
      <c r="G41" s="1" t="n"/>
      <c r="H41" s="15" t="inlineStr"/>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26" t="inlineStr"/>
      <c r="E42" s="16" t="inlineStr"/>
      <c r="F42" s="16" t="inlineStr"/>
      <c r="G42" s="1" t="n"/>
      <c r="H42" s="17" t="inlineStr"/>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25" t="inlineStr"/>
      <c r="E43" s="13" t="inlineStr"/>
      <c r="F43" s="13" t="inlineStr"/>
      <c r="G43" s="1" t="n"/>
      <c r="H43" s="15" t="inlineStr"/>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26" t="inlineStr"/>
      <c r="E44" s="16" t="inlineStr"/>
      <c r="F44" s="16" t="inlineStr"/>
      <c r="G44" s="1" t="n"/>
      <c r="H44" s="17" t="inlineStr"/>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25" t="inlineStr"/>
      <c r="E45" s="13" t="inlineStr"/>
      <c r="F45" s="13" t="inlineStr"/>
      <c r="G45" s="1" t="n"/>
      <c r="H45" s="15" t="inlineStr"/>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26" t="inlineStr"/>
      <c r="E46" s="16" t="inlineStr"/>
      <c r="F46" s="16" t="inlineStr"/>
      <c r="G46" s="1" t="n"/>
      <c r="H46" s="17" t="inlineStr"/>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25" t="inlineStr"/>
      <c r="E47" s="13" t="inlineStr"/>
      <c r="F47" s="13" t="inlineStr"/>
      <c r="G47" s="1" t="n"/>
      <c r="H47" s="15" t="inlineStr"/>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26" t="inlineStr"/>
      <c r="E48" s="16" t="inlineStr"/>
      <c r="F48" s="16" t="inlineStr"/>
      <c r="G48" s="1" t="n"/>
      <c r="H48" s="17" t="inlineStr"/>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25" t="inlineStr"/>
      <c r="E49" s="13" t="inlineStr"/>
      <c r="F49" s="13" t="inlineStr"/>
      <c r="G49" s="1" t="n"/>
      <c r="H49" s="15" t="inlineStr"/>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26" t="inlineStr"/>
      <c r="E50" s="16" t="inlineStr"/>
      <c r="F50" s="16" t="inlineStr"/>
      <c r="G50" s="1" t="n"/>
      <c r="H50" s="17" t="inlineStr"/>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25" t="inlineStr"/>
      <c r="E51" s="13" t="inlineStr"/>
      <c r="F51" s="13" t="inlineStr"/>
      <c r="G51" s="1" t="n"/>
      <c r="H51" s="15" t="inlineStr"/>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26" t="inlineStr"/>
      <c r="E52" s="16" t="inlineStr"/>
      <c r="F52" s="16" t="inlineStr"/>
      <c r="G52" s="1" t="n"/>
      <c r="H52" s="17" t="inlineStr"/>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25" t="inlineStr"/>
      <c r="E53" s="13" t="inlineStr"/>
      <c r="F53" s="13" t="inlineStr"/>
      <c r="G53" s="1" t="n"/>
      <c r="H53" s="15" t="inlineStr"/>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26" t="inlineStr"/>
      <c r="E54" s="16" t="inlineStr"/>
      <c r="F54" s="16" t="inlineStr"/>
      <c r="G54" s="1" t="n"/>
      <c r="H54" s="17" t="inlineStr"/>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25" t="inlineStr"/>
      <c r="E55" s="13" t="inlineStr"/>
      <c r="F55" s="13" t="inlineStr"/>
      <c r="G55" s="1" t="n"/>
      <c r="H55" s="15" t="inlineStr"/>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26" t="inlineStr"/>
      <c r="E56" s="16" t="inlineStr"/>
      <c r="F56" s="16" t="inlineStr"/>
      <c r="G56" s="1" t="n"/>
      <c r="H56" s="17" t="inlineStr"/>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25" t="inlineStr"/>
      <c r="E57" s="13" t="inlineStr"/>
      <c r="F57" s="13" t="inlineStr"/>
      <c r="G57" s="1" t="n"/>
      <c r="H57" s="15" t="inlineStr"/>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26" t="inlineStr"/>
      <c r="E58" s="16" t="inlineStr"/>
      <c r="F58" s="16" t="inlineStr"/>
      <c r="G58" s="1" t="n"/>
      <c r="H58" s="17" t="inlineStr"/>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25" t="inlineStr"/>
      <c r="E59" s="13" t="inlineStr"/>
      <c r="F59" s="13" t="inlineStr"/>
      <c r="G59" s="1" t="n"/>
      <c r="H59" s="15" t="inlineStr"/>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26" t="inlineStr"/>
      <c r="E60" s="16" t="inlineStr"/>
      <c r="F60" s="16" t="inlineStr"/>
      <c r="G60" s="1" t="n"/>
      <c r="H60" s="17" t="inlineStr"/>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8" t="inlineStr">
        <is>
          <t>TOTAL VARIABLE</t>
        </is>
      </c>
      <c r="E61" s="1" t="n"/>
      <c r="F61" s="1" t="n"/>
      <c r="G61" s="1" t="n"/>
      <c r="H61" s="19">
        <f>SUM(H31:H60)</f>
        <v/>
      </c>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28" customHeight="1">
      <c r="A63" s="1" t="n"/>
      <c r="B63" s="1" t="n"/>
      <c r="C63" s="1" t="n"/>
      <c r="D63" s="6" t="inlineStr">
        <is>
          <t>MONTHLY SUMMARY</t>
        </is>
      </c>
      <c r="E63" s="6" t="n"/>
      <c r="F63" s="6" t="n"/>
      <c r="G63" s="6" t="n"/>
      <c r="H63" s="6"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2" t="inlineStr">
        <is>
          <t>Total Income</t>
        </is>
      </c>
      <c r="E65" s="13">
        <f>E13</f>
        <v/>
      </c>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2" t="inlineStr">
        <is>
          <t>Total Fixed Expenses</t>
        </is>
      </c>
      <c r="E66" s="13">
        <f>F26</f>
        <v/>
      </c>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2" t="inlineStr">
        <is>
          <t>Total Variable Expenses</t>
        </is>
      </c>
      <c r="E67" s="13">
        <f>H61</f>
        <v/>
      </c>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8" t="inlineStr">
        <is>
          <t>NET (Income - Expenses)</t>
        </is>
      </c>
      <c r="E68" s="19">
        <f>E13-F26-H61</f>
        <v/>
      </c>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autoFilter ref="D30:H60"/>
  <mergeCells count="4">
    <mergeCell ref="D63:H63"/>
    <mergeCell ref="D5:H5"/>
    <mergeCell ref="D15:H15"/>
    <mergeCell ref="D28:H28"/>
  </mergeCells>
  <conditionalFormatting sqref="G18:G25">
    <cfRule type="cellIs" priority="1" operator="greaterThanOrEqual" dxfId="0">
      <formula>0</formula>
    </cfRule>
    <cfRule type="cellIs" priority="2" operator="lessThan" dxfId="1">
      <formula>0</formula>
    </cfRule>
  </conditionalFormatting>
  <dataValidations count="2">
    <dataValidation sqref="D18 D19 D20 D21 D22 D23 D24 D25"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 sqref="E31 E32 E33 E34 E35 E36 E37 E38 E39 E40 E41 E42 E43 E44 E45 E46 E47 E48 E49 E50 E51 E52 E53 E54 E55 E56 E57 E58 E59 E60"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11.xml><?xml version="1.0" encoding="utf-8"?>
<worksheet xmlns="http://schemas.openxmlformats.org/spreadsheetml/2006/main">
  <sheetPr>
    <tabColor rgb="00768975"/>
    <outlinePr summaryBelow="1" summaryRight="1"/>
    <pageSetUpPr/>
  </sheetPr>
  <dimension ref="A1:AC7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JULY INCOME</t>
        </is>
      </c>
      <c r="E5" s="6" t="n"/>
      <c r="F5" s="6" t="n"/>
      <c r="G5" s="6" t="n"/>
      <c r="H5" s="6" t="n"/>
      <c r="I5" s="1" t="n"/>
      <c r="J5" s="1"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Source</t>
        </is>
      </c>
      <c r="E7" s="14" t="inlineStr">
        <is>
          <t>Amount</t>
        </is>
      </c>
      <c r="F7" s="14" t="inlineStr">
        <is>
          <t>Date Received</t>
        </is>
      </c>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3" t="inlineStr">
        <is>
          <t>Salary</t>
        </is>
      </c>
      <c r="E8" s="27"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6" t="inlineStr">
        <is>
          <t>Side Hustle</t>
        </is>
      </c>
      <c r="E9" s="27"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3" t="inlineStr">
        <is>
          <t>Freelance</t>
        </is>
      </c>
      <c r="E10" s="27"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6" t="inlineStr">
        <is>
          <t>Investments</t>
        </is>
      </c>
      <c r="E11" s="27"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is>
          <t>Other</t>
        </is>
      </c>
      <c r="E12" s="27"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8" t="inlineStr">
        <is>
          <t>TOTAL INCOME</t>
        </is>
      </c>
      <c r="E13" s="19">
        <f>SUM(E8:E12)</f>
        <v/>
      </c>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28" customHeight="1">
      <c r="A15" s="1" t="n"/>
      <c r="B15" s="10" t="inlineStr">
        <is>
          <t>March</t>
        </is>
      </c>
      <c r="C15" s="1" t="n"/>
      <c r="D15" s="6" t="inlineStr">
        <is>
          <t>FIXED EXPENSES</t>
        </is>
      </c>
      <c r="E15" s="6" t="n"/>
      <c r="F15" s="6" t="n"/>
      <c r="G15" s="6" t="n"/>
      <c r="H15" s="6"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4" t="inlineStr">
        <is>
          <t>Category</t>
        </is>
      </c>
      <c r="E17" s="14" t="inlineStr">
        <is>
          <t>Budget</t>
        </is>
      </c>
      <c r="F17" s="14" t="inlineStr">
        <is>
          <t>Actual</t>
        </is>
      </c>
      <c r="G17" s="14" t="inlineStr">
        <is>
          <t>Difference</t>
        </is>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3" t="inlineStr"/>
      <c r="E18" s="27" t="n"/>
      <c r="F18" s="27" t="n"/>
      <c r="G18" s="13">
        <f>E18-F18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1" t="inlineStr">
        <is>
          <t>July</t>
        </is>
      </c>
      <c r="C19" s="1" t="n"/>
      <c r="D19" s="16" t="inlineStr"/>
      <c r="E19" s="27" t="n"/>
      <c r="F19" s="27" t="n"/>
      <c r="G19" s="16">
        <f>E19-F19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3" t="inlineStr"/>
      <c r="E20" s="27" t="n"/>
      <c r="F20" s="27" t="n"/>
      <c r="G20" s="13">
        <f>E20-F20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6" t="inlineStr"/>
      <c r="E21" s="27" t="n"/>
      <c r="F21" s="27" t="n"/>
      <c r="G21" s="16">
        <f>E21-F21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3" t="inlineStr"/>
      <c r="E22" s="27" t="n"/>
      <c r="F22" s="27" t="n"/>
      <c r="G22" s="13">
        <f>E22-F22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6" t="inlineStr"/>
      <c r="E23" s="27" t="n"/>
      <c r="F23" s="27" t="n"/>
      <c r="G23" s="16">
        <f>E23-F23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3" t="inlineStr"/>
      <c r="E24" s="27" t="n"/>
      <c r="F24" s="27" t="n"/>
      <c r="G24" s="13">
        <f>E24-F24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6" t="inlineStr"/>
      <c r="E25" s="27" t="n"/>
      <c r="F25" s="27" t="n"/>
      <c r="G25" s="16">
        <f>E25-F25</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8" t="inlineStr">
        <is>
          <t>TOTAL FIXED</t>
        </is>
      </c>
      <c r="E26" s="19">
        <f>SUM(E18:E25)</f>
        <v/>
      </c>
      <c r="F26" s="19">
        <f>SUM(F18:F25)</f>
        <v/>
      </c>
      <c r="G26" s="19">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28" customHeight="1">
      <c r="A28" s="1" t="n"/>
      <c r="B28" s="10" t="inlineStr">
        <is>
          <t>Expense Dist</t>
        </is>
      </c>
      <c r="C28" s="1" t="n"/>
      <c r="D28" s="6" t="inlineStr">
        <is>
          <t>VARIABLE EXPENSES</t>
        </is>
      </c>
      <c r="E28" s="6" t="n"/>
      <c r="F28" s="6" t="n"/>
      <c r="G28" s="6" t="n"/>
      <c r="H28" s="6"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4" t="inlineStr">
        <is>
          <t>Date</t>
        </is>
      </c>
      <c r="E30" s="14" t="inlineStr">
        <is>
          <t>Category</t>
        </is>
      </c>
      <c r="F30" s="14" t="inlineStr">
        <is>
          <t>Description</t>
        </is>
      </c>
      <c r="G30" s="14" t="inlineStr">
        <is>
          <t>Amount</t>
        </is>
      </c>
      <c r="H30" s="14" t="inlineStr">
        <is>
          <t>Amount</t>
        </is>
      </c>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25" t="inlineStr"/>
      <c r="E31" s="13" t="inlineStr"/>
      <c r="F31" s="13" t="inlineStr"/>
      <c r="G31" s="1" t="n"/>
      <c r="H31" s="15" t="inlineStr"/>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26" t="inlineStr"/>
      <c r="E32" s="16" t="inlineStr"/>
      <c r="F32" s="16" t="inlineStr"/>
      <c r="G32" s="1" t="n"/>
      <c r="H32" s="17" t="inlineStr"/>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25" t="inlineStr"/>
      <c r="E33" s="13" t="inlineStr"/>
      <c r="F33" s="13" t="inlineStr"/>
      <c r="G33" s="1" t="n"/>
      <c r="H33" s="15" t="inlineStr"/>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26" t="inlineStr"/>
      <c r="E34" s="16" t="inlineStr"/>
      <c r="F34" s="16" t="inlineStr"/>
      <c r="G34" s="1" t="n"/>
      <c r="H34" s="17" t="inlineStr"/>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25" t="inlineStr"/>
      <c r="E35" s="13" t="inlineStr"/>
      <c r="F35" s="13" t="inlineStr"/>
      <c r="G35" s="1" t="n"/>
      <c r="H35" s="15" t="inlineStr"/>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26" t="inlineStr"/>
      <c r="E36" s="16" t="inlineStr"/>
      <c r="F36" s="16" t="inlineStr"/>
      <c r="G36" s="1" t="n"/>
      <c r="H36" s="17" t="inlineStr"/>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25" t="inlineStr"/>
      <c r="E37" s="13" t="inlineStr"/>
      <c r="F37" s="13" t="inlineStr"/>
      <c r="G37" s="1" t="n"/>
      <c r="H37" s="15" t="inlineStr"/>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26" t="inlineStr"/>
      <c r="E38" s="16" t="inlineStr"/>
      <c r="F38" s="16" t="inlineStr"/>
      <c r="G38" s="1" t="n"/>
      <c r="H38" s="17" t="inlineStr"/>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25" t="inlineStr"/>
      <c r="E39" s="13" t="inlineStr"/>
      <c r="F39" s="13" t="inlineStr"/>
      <c r="G39" s="1" t="n"/>
      <c r="H39" s="15" t="inlineStr"/>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26" t="inlineStr"/>
      <c r="E40" s="16" t="inlineStr"/>
      <c r="F40" s="16" t="inlineStr"/>
      <c r="G40" s="1" t="n"/>
      <c r="H40" s="17" t="inlineStr"/>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25" t="inlineStr"/>
      <c r="E41" s="13" t="inlineStr"/>
      <c r="F41" s="13" t="inlineStr"/>
      <c r="G41" s="1" t="n"/>
      <c r="H41" s="15" t="inlineStr"/>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26" t="inlineStr"/>
      <c r="E42" s="16" t="inlineStr"/>
      <c r="F42" s="16" t="inlineStr"/>
      <c r="G42" s="1" t="n"/>
      <c r="H42" s="17" t="inlineStr"/>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25" t="inlineStr"/>
      <c r="E43" s="13" t="inlineStr"/>
      <c r="F43" s="13" t="inlineStr"/>
      <c r="G43" s="1" t="n"/>
      <c r="H43" s="15" t="inlineStr"/>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26" t="inlineStr"/>
      <c r="E44" s="16" t="inlineStr"/>
      <c r="F44" s="16" t="inlineStr"/>
      <c r="G44" s="1" t="n"/>
      <c r="H44" s="17" t="inlineStr"/>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25" t="inlineStr"/>
      <c r="E45" s="13" t="inlineStr"/>
      <c r="F45" s="13" t="inlineStr"/>
      <c r="G45" s="1" t="n"/>
      <c r="H45" s="15" t="inlineStr"/>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26" t="inlineStr"/>
      <c r="E46" s="16" t="inlineStr"/>
      <c r="F46" s="16" t="inlineStr"/>
      <c r="G46" s="1" t="n"/>
      <c r="H46" s="17" t="inlineStr"/>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25" t="inlineStr"/>
      <c r="E47" s="13" t="inlineStr"/>
      <c r="F47" s="13" t="inlineStr"/>
      <c r="G47" s="1" t="n"/>
      <c r="H47" s="15" t="inlineStr"/>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26" t="inlineStr"/>
      <c r="E48" s="16" t="inlineStr"/>
      <c r="F48" s="16" t="inlineStr"/>
      <c r="G48" s="1" t="n"/>
      <c r="H48" s="17" t="inlineStr"/>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25" t="inlineStr"/>
      <c r="E49" s="13" t="inlineStr"/>
      <c r="F49" s="13" t="inlineStr"/>
      <c r="G49" s="1" t="n"/>
      <c r="H49" s="15" t="inlineStr"/>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26" t="inlineStr"/>
      <c r="E50" s="16" t="inlineStr"/>
      <c r="F50" s="16" t="inlineStr"/>
      <c r="G50" s="1" t="n"/>
      <c r="H50" s="17" t="inlineStr"/>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25" t="inlineStr"/>
      <c r="E51" s="13" t="inlineStr"/>
      <c r="F51" s="13" t="inlineStr"/>
      <c r="G51" s="1" t="n"/>
      <c r="H51" s="15" t="inlineStr"/>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26" t="inlineStr"/>
      <c r="E52" s="16" t="inlineStr"/>
      <c r="F52" s="16" t="inlineStr"/>
      <c r="G52" s="1" t="n"/>
      <c r="H52" s="17" t="inlineStr"/>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25" t="inlineStr"/>
      <c r="E53" s="13" t="inlineStr"/>
      <c r="F53" s="13" t="inlineStr"/>
      <c r="G53" s="1" t="n"/>
      <c r="H53" s="15" t="inlineStr"/>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26" t="inlineStr"/>
      <c r="E54" s="16" t="inlineStr"/>
      <c r="F54" s="16" t="inlineStr"/>
      <c r="G54" s="1" t="n"/>
      <c r="H54" s="17" t="inlineStr"/>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25" t="inlineStr"/>
      <c r="E55" s="13" t="inlineStr"/>
      <c r="F55" s="13" t="inlineStr"/>
      <c r="G55" s="1" t="n"/>
      <c r="H55" s="15" t="inlineStr"/>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26" t="inlineStr"/>
      <c r="E56" s="16" t="inlineStr"/>
      <c r="F56" s="16" t="inlineStr"/>
      <c r="G56" s="1" t="n"/>
      <c r="H56" s="17" t="inlineStr"/>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25" t="inlineStr"/>
      <c r="E57" s="13" t="inlineStr"/>
      <c r="F57" s="13" t="inlineStr"/>
      <c r="G57" s="1" t="n"/>
      <c r="H57" s="15" t="inlineStr"/>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26" t="inlineStr"/>
      <c r="E58" s="16" t="inlineStr"/>
      <c r="F58" s="16" t="inlineStr"/>
      <c r="G58" s="1" t="n"/>
      <c r="H58" s="17" t="inlineStr"/>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25" t="inlineStr"/>
      <c r="E59" s="13" t="inlineStr"/>
      <c r="F59" s="13" t="inlineStr"/>
      <c r="G59" s="1" t="n"/>
      <c r="H59" s="15" t="inlineStr"/>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26" t="inlineStr"/>
      <c r="E60" s="16" t="inlineStr"/>
      <c r="F60" s="16" t="inlineStr"/>
      <c r="G60" s="1" t="n"/>
      <c r="H60" s="17" t="inlineStr"/>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8" t="inlineStr">
        <is>
          <t>TOTAL VARIABLE</t>
        </is>
      </c>
      <c r="E61" s="1" t="n"/>
      <c r="F61" s="1" t="n"/>
      <c r="G61" s="1" t="n"/>
      <c r="H61" s="19">
        <f>SUM(H31:H60)</f>
        <v/>
      </c>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28" customHeight="1">
      <c r="A63" s="1" t="n"/>
      <c r="B63" s="1" t="n"/>
      <c r="C63" s="1" t="n"/>
      <c r="D63" s="6" t="inlineStr">
        <is>
          <t>MONTHLY SUMMARY</t>
        </is>
      </c>
      <c r="E63" s="6" t="n"/>
      <c r="F63" s="6" t="n"/>
      <c r="G63" s="6" t="n"/>
      <c r="H63" s="6"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2" t="inlineStr">
        <is>
          <t>Total Income</t>
        </is>
      </c>
      <c r="E65" s="13">
        <f>E13</f>
        <v/>
      </c>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2" t="inlineStr">
        <is>
          <t>Total Fixed Expenses</t>
        </is>
      </c>
      <c r="E66" s="13">
        <f>F26</f>
        <v/>
      </c>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2" t="inlineStr">
        <is>
          <t>Total Variable Expenses</t>
        </is>
      </c>
      <c r="E67" s="13">
        <f>H61</f>
        <v/>
      </c>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8" t="inlineStr">
        <is>
          <t>NET (Income - Expenses)</t>
        </is>
      </c>
      <c r="E68" s="19">
        <f>E13-F26-H61</f>
        <v/>
      </c>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autoFilter ref="D30:H60"/>
  <mergeCells count="4">
    <mergeCell ref="D63:H63"/>
    <mergeCell ref="D5:H5"/>
    <mergeCell ref="D15:H15"/>
    <mergeCell ref="D28:H28"/>
  </mergeCells>
  <conditionalFormatting sqref="G18:G25">
    <cfRule type="cellIs" priority="1" operator="greaterThanOrEqual" dxfId="0">
      <formula>0</formula>
    </cfRule>
    <cfRule type="cellIs" priority="2" operator="lessThan" dxfId="1">
      <formula>0</formula>
    </cfRule>
  </conditionalFormatting>
  <dataValidations count="2">
    <dataValidation sqref="D18 D19 D20 D21 D22 D23 D24 D25"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 sqref="E31 E32 E33 E34 E35 E36 E37 E38 E39 E40 E41 E42 E43 E44 E45 E46 E47 E48 E49 E50 E51 E52 E53 E54 E55 E56 E57 E58 E59 E60"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12.xml><?xml version="1.0" encoding="utf-8"?>
<worksheet xmlns="http://schemas.openxmlformats.org/spreadsheetml/2006/main">
  <sheetPr>
    <tabColor rgb="00768975"/>
    <outlinePr summaryBelow="1" summaryRight="1"/>
    <pageSetUpPr/>
  </sheetPr>
  <dimension ref="A1:AC7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AUGUST INCOME</t>
        </is>
      </c>
      <c r="E5" s="6" t="n"/>
      <c r="F5" s="6" t="n"/>
      <c r="G5" s="6" t="n"/>
      <c r="H5" s="6" t="n"/>
      <c r="I5" s="1" t="n"/>
      <c r="J5" s="1"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Source</t>
        </is>
      </c>
      <c r="E7" s="14" t="inlineStr">
        <is>
          <t>Amount</t>
        </is>
      </c>
      <c r="F7" s="14" t="inlineStr">
        <is>
          <t>Date Received</t>
        </is>
      </c>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3" t="inlineStr">
        <is>
          <t>Salary</t>
        </is>
      </c>
      <c r="E8" s="27"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6" t="inlineStr">
        <is>
          <t>Side Hustle</t>
        </is>
      </c>
      <c r="E9" s="27"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3" t="inlineStr">
        <is>
          <t>Freelance</t>
        </is>
      </c>
      <c r="E10" s="27"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6" t="inlineStr">
        <is>
          <t>Investments</t>
        </is>
      </c>
      <c r="E11" s="27"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is>
          <t>Other</t>
        </is>
      </c>
      <c r="E12" s="27"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8" t="inlineStr">
        <is>
          <t>TOTAL INCOME</t>
        </is>
      </c>
      <c r="E13" s="19">
        <f>SUM(E8:E12)</f>
        <v/>
      </c>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28" customHeight="1">
      <c r="A15" s="1" t="n"/>
      <c r="B15" s="10" t="inlineStr">
        <is>
          <t>March</t>
        </is>
      </c>
      <c r="C15" s="1" t="n"/>
      <c r="D15" s="6" t="inlineStr">
        <is>
          <t>FIXED EXPENSES</t>
        </is>
      </c>
      <c r="E15" s="6" t="n"/>
      <c r="F15" s="6" t="n"/>
      <c r="G15" s="6" t="n"/>
      <c r="H15" s="6"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4" t="inlineStr">
        <is>
          <t>Category</t>
        </is>
      </c>
      <c r="E17" s="14" t="inlineStr">
        <is>
          <t>Budget</t>
        </is>
      </c>
      <c r="F17" s="14" t="inlineStr">
        <is>
          <t>Actual</t>
        </is>
      </c>
      <c r="G17" s="14" t="inlineStr">
        <is>
          <t>Difference</t>
        </is>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3" t="inlineStr"/>
      <c r="E18" s="27" t="n"/>
      <c r="F18" s="27" t="n"/>
      <c r="G18" s="13">
        <f>E18-F18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6" t="inlineStr"/>
      <c r="E19" s="27" t="n"/>
      <c r="F19" s="27" t="n"/>
      <c r="G19" s="16">
        <f>E19-F19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1" t="inlineStr">
        <is>
          <t>August</t>
        </is>
      </c>
      <c r="C20" s="1" t="n"/>
      <c r="D20" s="13" t="inlineStr"/>
      <c r="E20" s="27" t="n"/>
      <c r="F20" s="27" t="n"/>
      <c r="G20" s="13">
        <f>E20-F20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6" t="inlineStr"/>
      <c r="E21" s="27" t="n"/>
      <c r="F21" s="27" t="n"/>
      <c r="G21" s="16">
        <f>E21-F21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3" t="inlineStr"/>
      <c r="E22" s="27" t="n"/>
      <c r="F22" s="27" t="n"/>
      <c r="G22" s="13">
        <f>E22-F22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6" t="inlineStr"/>
      <c r="E23" s="27" t="n"/>
      <c r="F23" s="27" t="n"/>
      <c r="G23" s="16">
        <f>E23-F23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3" t="inlineStr"/>
      <c r="E24" s="27" t="n"/>
      <c r="F24" s="27" t="n"/>
      <c r="G24" s="13">
        <f>E24-F24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6" t="inlineStr"/>
      <c r="E25" s="27" t="n"/>
      <c r="F25" s="27" t="n"/>
      <c r="G25" s="16">
        <f>E25-F25</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8" t="inlineStr">
        <is>
          <t>TOTAL FIXED</t>
        </is>
      </c>
      <c r="E26" s="19">
        <f>SUM(E18:E25)</f>
        <v/>
      </c>
      <c r="F26" s="19">
        <f>SUM(F18:F25)</f>
        <v/>
      </c>
      <c r="G26" s="19">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28" customHeight="1">
      <c r="A28" s="1" t="n"/>
      <c r="B28" s="10" t="inlineStr">
        <is>
          <t>Expense Dist</t>
        </is>
      </c>
      <c r="C28" s="1" t="n"/>
      <c r="D28" s="6" t="inlineStr">
        <is>
          <t>VARIABLE EXPENSES</t>
        </is>
      </c>
      <c r="E28" s="6" t="n"/>
      <c r="F28" s="6" t="n"/>
      <c r="G28" s="6" t="n"/>
      <c r="H28" s="6"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4" t="inlineStr">
        <is>
          <t>Date</t>
        </is>
      </c>
      <c r="E30" s="14" t="inlineStr">
        <is>
          <t>Category</t>
        </is>
      </c>
      <c r="F30" s="14" t="inlineStr">
        <is>
          <t>Description</t>
        </is>
      </c>
      <c r="G30" s="14" t="inlineStr">
        <is>
          <t>Amount</t>
        </is>
      </c>
      <c r="H30" s="14" t="inlineStr">
        <is>
          <t>Amount</t>
        </is>
      </c>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25" t="inlineStr"/>
      <c r="E31" s="13" t="inlineStr"/>
      <c r="F31" s="13" t="inlineStr"/>
      <c r="G31" s="1" t="n"/>
      <c r="H31" s="15" t="inlineStr"/>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26" t="inlineStr"/>
      <c r="E32" s="16" t="inlineStr"/>
      <c r="F32" s="16" t="inlineStr"/>
      <c r="G32" s="1" t="n"/>
      <c r="H32" s="17" t="inlineStr"/>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25" t="inlineStr"/>
      <c r="E33" s="13" t="inlineStr"/>
      <c r="F33" s="13" t="inlineStr"/>
      <c r="G33" s="1" t="n"/>
      <c r="H33" s="15" t="inlineStr"/>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26" t="inlineStr"/>
      <c r="E34" s="16" t="inlineStr"/>
      <c r="F34" s="16" t="inlineStr"/>
      <c r="G34" s="1" t="n"/>
      <c r="H34" s="17" t="inlineStr"/>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25" t="inlineStr"/>
      <c r="E35" s="13" t="inlineStr"/>
      <c r="F35" s="13" t="inlineStr"/>
      <c r="G35" s="1" t="n"/>
      <c r="H35" s="15" t="inlineStr"/>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26" t="inlineStr"/>
      <c r="E36" s="16" t="inlineStr"/>
      <c r="F36" s="16" t="inlineStr"/>
      <c r="G36" s="1" t="n"/>
      <c r="H36" s="17" t="inlineStr"/>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25" t="inlineStr"/>
      <c r="E37" s="13" t="inlineStr"/>
      <c r="F37" s="13" t="inlineStr"/>
      <c r="G37" s="1" t="n"/>
      <c r="H37" s="15" t="inlineStr"/>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26" t="inlineStr"/>
      <c r="E38" s="16" t="inlineStr"/>
      <c r="F38" s="16" t="inlineStr"/>
      <c r="G38" s="1" t="n"/>
      <c r="H38" s="17" t="inlineStr"/>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25" t="inlineStr"/>
      <c r="E39" s="13" t="inlineStr"/>
      <c r="F39" s="13" t="inlineStr"/>
      <c r="G39" s="1" t="n"/>
      <c r="H39" s="15" t="inlineStr"/>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26" t="inlineStr"/>
      <c r="E40" s="16" t="inlineStr"/>
      <c r="F40" s="16" t="inlineStr"/>
      <c r="G40" s="1" t="n"/>
      <c r="H40" s="17" t="inlineStr"/>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25" t="inlineStr"/>
      <c r="E41" s="13" t="inlineStr"/>
      <c r="F41" s="13" t="inlineStr"/>
      <c r="G41" s="1" t="n"/>
      <c r="H41" s="15" t="inlineStr"/>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26" t="inlineStr"/>
      <c r="E42" s="16" t="inlineStr"/>
      <c r="F42" s="16" t="inlineStr"/>
      <c r="G42" s="1" t="n"/>
      <c r="H42" s="17" t="inlineStr"/>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25" t="inlineStr"/>
      <c r="E43" s="13" t="inlineStr"/>
      <c r="F43" s="13" t="inlineStr"/>
      <c r="G43" s="1" t="n"/>
      <c r="H43" s="15" t="inlineStr"/>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26" t="inlineStr"/>
      <c r="E44" s="16" t="inlineStr"/>
      <c r="F44" s="16" t="inlineStr"/>
      <c r="G44" s="1" t="n"/>
      <c r="H44" s="17" t="inlineStr"/>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25" t="inlineStr"/>
      <c r="E45" s="13" t="inlineStr"/>
      <c r="F45" s="13" t="inlineStr"/>
      <c r="G45" s="1" t="n"/>
      <c r="H45" s="15" t="inlineStr"/>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26" t="inlineStr"/>
      <c r="E46" s="16" t="inlineStr"/>
      <c r="F46" s="16" t="inlineStr"/>
      <c r="G46" s="1" t="n"/>
      <c r="H46" s="17" t="inlineStr"/>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25" t="inlineStr"/>
      <c r="E47" s="13" t="inlineStr"/>
      <c r="F47" s="13" t="inlineStr"/>
      <c r="G47" s="1" t="n"/>
      <c r="H47" s="15" t="inlineStr"/>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26" t="inlineStr"/>
      <c r="E48" s="16" t="inlineStr"/>
      <c r="F48" s="16" t="inlineStr"/>
      <c r="G48" s="1" t="n"/>
      <c r="H48" s="17" t="inlineStr"/>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25" t="inlineStr"/>
      <c r="E49" s="13" t="inlineStr"/>
      <c r="F49" s="13" t="inlineStr"/>
      <c r="G49" s="1" t="n"/>
      <c r="H49" s="15" t="inlineStr"/>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26" t="inlineStr"/>
      <c r="E50" s="16" t="inlineStr"/>
      <c r="F50" s="16" t="inlineStr"/>
      <c r="G50" s="1" t="n"/>
      <c r="H50" s="17" t="inlineStr"/>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25" t="inlineStr"/>
      <c r="E51" s="13" t="inlineStr"/>
      <c r="F51" s="13" t="inlineStr"/>
      <c r="G51" s="1" t="n"/>
      <c r="H51" s="15" t="inlineStr"/>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26" t="inlineStr"/>
      <c r="E52" s="16" t="inlineStr"/>
      <c r="F52" s="16" t="inlineStr"/>
      <c r="G52" s="1" t="n"/>
      <c r="H52" s="17" t="inlineStr"/>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25" t="inlineStr"/>
      <c r="E53" s="13" t="inlineStr"/>
      <c r="F53" s="13" t="inlineStr"/>
      <c r="G53" s="1" t="n"/>
      <c r="H53" s="15" t="inlineStr"/>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26" t="inlineStr"/>
      <c r="E54" s="16" t="inlineStr"/>
      <c r="F54" s="16" t="inlineStr"/>
      <c r="G54" s="1" t="n"/>
      <c r="H54" s="17" t="inlineStr"/>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25" t="inlineStr"/>
      <c r="E55" s="13" t="inlineStr"/>
      <c r="F55" s="13" t="inlineStr"/>
      <c r="G55" s="1" t="n"/>
      <c r="H55" s="15" t="inlineStr"/>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26" t="inlineStr"/>
      <c r="E56" s="16" t="inlineStr"/>
      <c r="F56" s="16" t="inlineStr"/>
      <c r="G56" s="1" t="n"/>
      <c r="H56" s="17" t="inlineStr"/>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25" t="inlineStr"/>
      <c r="E57" s="13" t="inlineStr"/>
      <c r="F57" s="13" t="inlineStr"/>
      <c r="G57" s="1" t="n"/>
      <c r="H57" s="15" t="inlineStr"/>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26" t="inlineStr"/>
      <c r="E58" s="16" t="inlineStr"/>
      <c r="F58" s="16" t="inlineStr"/>
      <c r="G58" s="1" t="n"/>
      <c r="H58" s="17" t="inlineStr"/>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25" t="inlineStr"/>
      <c r="E59" s="13" t="inlineStr"/>
      <c r="F59" s="13" t="inlineStr"/>
      <c r="G59" s="1" t="n"/>
      <c r="H59" s="15" t="inlineStr"/>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26" t="inlineStr"/>
      <c r="E60" s="16" t="inlineStr"/>
      <c r="F60" s="16" t="inlineStr"/>
      <c r="G60" s="1" t="n"/>
      <c r="H60" s="17" t="inlineStr"/>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8" t="inlineStr">
        <is>
          <t>TOTAL VARIABLE</t>
        </is>
      </c>
      <c r="E61" s="1" t="n"/>
      <c r="F61" s="1" t="n"/>
      <c r="G61" s="1" t="n"/>
      <c r="H61" s="19">
        <f>SUM(H31:H60)</f>
        <v/>
      </c>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28" customHeight="1">
      <c r="A63" s="1" t="n"/>
      <c r="B63" s="1" t="n"/>
      <c r="C63" s="1" t="n"/>
      <c r="D63" s="6" t="inlineStr">
        <is>
          <t>MONTHLY SUMMARY</t>
        </is>
      </c>
      <c r="E63" s="6" t="n"/>
      <c r="F63" s="6" t="n"/>
      <c r="G63" s="6" t="n"/>
      <c r="H63" s="6"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2" t="inlineStr">
        <is>
          <t>Total Income</t>
        </is>
      </c>
      <c r="E65" s="13">
        <f>E13</f>
        <v/>
      </c>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2" t="inlineStr">
        <is>
          <t>Total Fixed Expenses</t>
        </is>
      </c>
      <c r="E66" s="13">
        <f>F26</f>
        <v/>
      </c>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2" t="inlineStr">
        <is>
          <t>Total Variable Expenses</t>
        </is>
      </c>
      <c r="E67" s="13">
        <f>H61</f>
        <v/>
      </c>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8" t="inlineStr">
        <is>
          <t>NET (Income - Expenses)</t>
        </is>
      </c>
      <c r="E68" s="19">
        <f>E13-F26-H61</f>
        <v/>
      </c>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autoFilter ref="D30:H60"/>
  <mergeCells count="4">
    <mergeCell ref="D63:H63"/>
    <mergeCell ref="D5:H5"/>
    <mergeCell ref="D15:H15"/>
    <mergeCell ref="D28:H28"/>
  </mergeCells>
  <conditionalFormatting sqref="G18:G25">
    <cfRule type="cellIs" priority="1" operator="greaterThanOrEqual" dxfId="0">
      <formula>0</formula>
    </cfRule>
    <cfRule type="cellIs" priority="2" operator="lessThan" dxfId="1">
      <formula>0</formula>
    </cfRule>
  </conditionalFormatting>
  <dataValidations count="2">
    <dataValidation sqref="D18 D19 D20 D21 D22 D23 D24 D25"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 sqref="E31 E32 E33 E34 E35 E36 E37 E38 E39 E40 E41 E42 E43 E44 E45 E46 E47 E48 E49 E50 E51 E52 E53 E54 E55 E56 E57 E58 E59 E60"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13.xml><?xml version="1.0" encoding="utf-8"?>
<worksheet xmlns="http://schemas.openxmlformats.org/spreadsheetml/2006/main">
  <sheetPr>
    <tabColor rgb="00768975"/>
    <outlinePr summaryBelow="1" summaryRight="1"/>
    <pageSetUpPr/>
  </sheetPr>
  <dimension ref="A1:AC7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SEPTEMBER INCOME</t>
        </is>
      </c>
      <c r="E5" s="6" t="n"/>
      <c r="F5" s="6" t="n"/>
      <c r="G5" s="6" t="n"/>
      <c r="H5" s="6" t="n"/>
      <c r="I5" s="1" t="n"/>
      <c r="J5" s="1"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Source</t>
        </is>
      </c>
      <c r="E7" s="14" t="inlineStr">
        <is>
          <t>Amount</t>
        </is>
      </c>
      <c r="F7" s="14" t="inlineStr">
        <is>
          <t>Date Received</t>
        </is>
      </c>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3" t="inlineStr">
        <is>
          <t>Salary</t>
        </is>
      </c>
      <c r="E8" s="27"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6" t="inlineStr">
        <is>
          <t>Side Hustle</t>
        </is>
      </c>
      <c r="E9" s="27"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3" t="inlineStr">
        <is>
          <t>Freelance</t>
        </is>
      </c>
      <c r="E10" s="27"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6" t="inlineStr">
        <is>
          <t>Investments</t>
        </is>
      </c>
      <c r="E11" s="27"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is>
          <t>Other</t>
        </is>
      </c>
      <c r="E12" s="27"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8" t="inlineStr">
        <is>
          <t>TOTAL INCOME</t>
        </is>
      </c>
      <c r="E13" s="19">
        <f>SUM(E8:E12)</f>
        <v/>
      </c>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28" customHeight="1">
      <c r="A15" s="1" t="n"/>
      <c r="B15" s="10" t="inlineStr">
        <is>
          <t>March</t>
        </is>
      </c>
      <c r="C15" s="1" t="n"/>
      <c r="D15" s="6" t="inlineStr">
        <is>
          <t>FIXED EXPENSES</t>
        </is>
      </c>
      <c r="E15" s="6" t="n"/>
      <c r="F15" s="6" t="n"/>
      <c r="G15" s="6" t="n"/>
      <c r="H15" s="6"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4" t="inlineStr">
        <is>
          <t>Category</t>
        </is>
      </c>
      <c r="E17" s="14" t="inlineStr">
        <is>
          <t>Budget</t>
        </is>
      </c>
      <c r="F17" s="14" t="inlineStr">
        <is>
          <t>Actual</t>
        </is>
      </c>
      <c r="G17" s="14" t="inlineStr">
        <is>
          <t>Difference</t>
        </is>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3" t="inlineStr"/>
      <c r="E18" s="27" t="n"/>
      <c r="F18" s="27" t="n"/>
      <c r="G18" s="13">
        <f>E18-F18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6" t="inlineStr"/>
      <c r="E19" s="27" t="n"/>
      <c r="F19" s="27" t="n"/>
      <c r="G19" s="16">
        <f>E19-F19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3" t="inlineStr"/>
      <c r="E20" s="27" t="n"/>
      <c r="F20" s="27" t="n"/>
      <c r="G20" s="13">
        <f>E20-F20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1" t="inlineStr">
        <is>
          <t>September</t>
        </is>
      </c>
      <c r="C21" s="1" t="n"/>
      <c r="D21" s="16" t="inlineStr"/>
      <c r="E21" s="27" t="n"/>
      <c r="F21" s="27" t="n"/>
      <c r="G21" s="16">
        <f>E21-F21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3" t="inlineStr"/>
      <c r="E22" s="27" t="n"/>
      <c r="F22" s="27" t="n"/>
      <c r="G22" s="13">
        <f>E22-F22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6" t="inlineStr"/>
      <c r="E23" s="27" t="n"/>
      <c r="F23" s="27" t="n"/>
      <c r="G23" s="16">
        <f>E23-F23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3" t="inlineStr"/>
      <c r="E24" s="27" t="n"/>
      <c r="F24" s="27" t="n"/>
      <c r="G24" s="13">
        <f>E24-F24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6" t="inlineStr"/>
      <c r="E25" s="27" t="n"/>
      <c r="F25" s="27" t="n"/>
      <c r="G25" s="16">
        <f>E25-F25</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8" t="inlineStr">
        <is>
          <t>TOTAL FIXED</t>
        </is>
      </c>
      <c r="E26" s="19">
        <f>SUM(E18:E25)</f>
        <v/>
      </c>
      <c r="F26" s="19">
        <f>SUM(F18:F25)</f>
        <v/>
      </c>
      <c r="G26" s="19">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28" customHeight="1">
      <c r="A28" s="1" t="n"/>
      <c r="B28" s="10" t="inlineStr">
        <is>
          <t>Expense Dist</t>
        </is>
      </c>
      <c r="C28" s="1" t="n"/>
      <c r="D28" s="6" t="inlineStr">
        <is>
          <t>VARIABLE EXPENSES</t>
        </is>
      </c>
      <c r="E28" s="6" t="n"/>
      <c r="F28" s="6" t="n"/>
      <c r="G28" s="6" t="n"/>
      <c r="H28" s="6"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4" t="inlineStr">
        <is>
          <t>Date</t>
        </is>
      </c>
      <c r="E30" s="14" t="inlineStr">
        <is>
          <t>Category</t>
        </is>
      </c>
      <c r="F30" s="14" t="inlineStr">
        <is>
          <t>Description</t>
        </is>
      </c>
      <c r="G30" s="14" t="inlineStr">
        <is>
          <t>Amount</t>
        </is>
      </c>
      <c r="H30" s="14" t="inlineStr">
        <is>
          <t>Amount</t>
        </is>
      </c>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25" t="inlineStr"/>
      <c r="E31" s="13" t="inlineStr"/>
      <c r="F31" s="13" t="inlineStr"/>
      <c r="G31" s="1" t="n"/>
      <c r="H31" s="15" t="inlineStr"/>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26" t="inlineStr"/>
      <c r="E32" s="16" t="inlineStr"/>
      <c r="F32" s="16" t="inlineStr"/>
      <c r="G32" s="1" t="n"/>
      <c r="H32" s="17" t="inlineStr"/>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25" t="inlineStr"/>
      <c r="E33" s="13" t="inlineStr"/>
      <c r="F33" s="13" t="inlineStr"/>
      <c r="G33" s="1" t="n"/>
      <c r="H33" s="15" t="inlineStr"/>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26" t="inlineStr"/>
      <c r="E34" s="16" t="inlineStr"/>
      <c r="F34" s="16" t="inlineStr"/>
      <c r="G34" s="1" t="n"/>
      <c r="H34" s="17" t="inlineStr"/>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25" t="inlineStr"/>
      <c r="E35" s="13" t="inlineStr"/>
      <c r="F35" s="13" t="inlineStr"/>
      <c r="G35" s="1" t="n"/>
      <c r="H35" s="15" t="inlineStr"/>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26" t="inlineStr"/>
      <c r="E36" s="16" t="inlineStr"/>
      <c r="F36" s="16" t="inlineStr"/>
      <c r="G36" s="1" t="n"/>
      <c r="H36" s="17" t="inlineStr"/>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25" t="inlineStr"/>
      <c r="E37" s="13" t="inlineStr"/>
      <c r="F37" s="13" t="inlineStr"/>
      <c r="G37" s="1" t="n"/>
      <c r="H37" s="15" t="inlineStr"/>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26" t="inlineStr"/>
      <c r="E38" s="16" t="inlineStr"/>
      <c r="F38" s="16" t="inlineStr"/>
      <c r="G38" s="1" t="n"/>
      <c r="H38" s="17" t="inlineStr"/>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25" t="inlineStr"/>
      <c r="E39" s="13" t="inlineStr"/>
      <c r="F39" s="13" t="inlineStr"/>
      <c r="G39" s="1" t="n"/>
      <c r="H39" s="15" t="inlineStr"/>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26" t="inlineStr"/>
      <c r="E40" s="16" t="inlineStr"/>
      <c r="F40" s="16" t="inlineStr"/>
      <c r="G40" s="1" t="n"/>
      <c r="H40" s="17" t="inlineStr"/>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25" t="inlineStr"/>
      <c r="E41" s="13" t="inlineStr"/>
      <c r="F41" s="13" t="inlineStr"/>
      <c r="G41" s="1" t="n"/>
      <c r="H41" s="15" t="inlineStr"/>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26" t="inlineStr"/>
      <c r="E42" s="16" t="inlineStr"/>
      <c r="F42" s="16" t="inlineStr"/>
      <c r="G42" s="1" t="n"/>
      <c r="H42" s="17" t="inlineStr"/>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25" t="inlineStr"/>
      <c r="E43" s="13" t="inlineStr"/>
      <c r="F43" s="13" t="inlineStr"/>
      <c r="G43" s="1" t="n"/>
      <c r="H43" s="15" t="inlineStr"/>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26" t="inlineStr"/>
      <c r="E44" s="16" t="inlineStr"/>
      <c r="F44" s="16" t="inlineStr"/>
      <c r="G44" s="1" t="n"/>
      <c r="H44" s="17" t="inlineStr"/>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25" t="inlineStr"/>
      <c r="E45" s="13" t="inlineStr"/>
      <c r="F45" s="13" t="inlineStr"/>
      <c r="G45" s="1" t="n"/>
      <c r="H45" s="15" t="inlineStr"/>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26" t="inlineStr"/>
      <c r="E46" s="16" t="inlineStr"/>
      <c r="F46" s="16" t="inlineStr"/>
      <c r="G46" s="1" t="n"/>
      <c r="H46" s="17" t="inlineStr"/>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25" t="inlineStr"/>
      <c r="E47" s="13" t="inlineStr"/>
      <c r="F47" s="13" t="inlineStr"/>
      <c r="G47" s="1" t="n"/>
      <c r="H47" s="15" t="inlineStr"/>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26" t="inlineStr"/>
      <c r="E48" s="16" t="inlineStr"/>
      <c r="F48" s="16" t="inlineStr"/>
      <c r="G48" s="1" t="n"/>
      <c r="H48" s="17" t="inlineStr"/>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25" t="inlineStr"/>
      <c r="E49" s="13" t="inlineStr"/>
      <c r="F49" s="13" t="inlineStr"/>
      <c r="G49" s="1" t="n"/>
      <c r="H49" s="15" t="inlineStr"/>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26" t="inlineStr"/>
      <c r="E50" s="16" t="inlineStr"/>
      <c r="F50" s="16" t="inlineStr"/>
      <c r="G50" s="1" t="n"/>
      <c r="H50" s="17" t="inlineStr"/>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25" t="inlineStr"/>
      <c r="E51" s="13" t="inlineStr"/>
      <c r="F51" s="13" t="inlineStr"/>
      <c r="G51" s="1" t="n"/>
      <c r="H51" s="15" t="inlineStr"/>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26" t="inlineStr"/>
      <c r="E52" s="16" t="inlineStr"/>
      <c r="F52" s="16" t="inlineStr"/>
      <c r="G52" s="1" t="n"/>
      <c r="H52" s="17" t="inlineStr"/>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25" t="inlineStr"/>
      <c r="E53" s="13" t="inlineStr"/>
      <c r="F53" s="13" t="inlineStr"/>
      <c r="G53" s="1" t="n"/>
      <c r="H53" s="15" t="inlineStr"/>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26" t="inlineStr"/>
      <c r="E54" s="16" t="inlineStr"/>
      <c r="F54" s="16" t="inlineStr"/>
      <c r="G54" s="1" t="n"/>
      <c r="H54" s="17" t="inlineStr"/>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25" t="inlineStr"/>
      <c r="E55" s="13" t="inlineStr"/>
      <c r="F55" s="13" t="inlineStr"/>
      <c r="G55" s="1" t="n"/>
      <c r="H55" s="15" t="inlineStr"/>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26" t="inlineStr"/>
      <c r="E56" s="16" t="inlineStr"/>
      <c r="F56" s="16" t="inlineStr"/>
      <c r="G56" s="1" t="n"/>
      <c r="H56" s="17" t="inlineStr"/>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25" t="inlineStr"/>
      <c r="E57" s="13" t="inlineStr"/>
      <c r="F57" s="13" t="inlineStr"/>
      <c r="G57" s="1" t="n"/>
      <c r="H57" s="15" t="inlineStr"/>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26" t="inlineStr"/>
      <c r="E58" s="16" t="inlineStr"/>
      <c r="F58" s="16" t="inlineStr"/>
      <c r="G58" s="1" t="n"/>
      <c r="H58" s="17" t="inlineStr"/>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25" t="inlineStr"/>
      <c r="E59" s="13" t="inlineStr"/>
      <c r="F59" s="13" t="inlineStr"/>
      <c r="G59" s="1" t="n"/>
      <c r="H59" s="15" t="inlineStr"/>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26" t="inlineStr"/>
      <c r="E60" s="16" t="inlineStr"/>
      <c r="F60" s="16" t="inlineStr"/>
      <c r="G60" s="1" t="n"/>
      <c r="H60" s="17" t="inlineStr"/>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8" t="inlineStr">
        <is>
          <t>TOTAL VARIABLE</t>
        </is>
      </c>
      <c r="E61" s="1" t="n"/>
      <c r="F61" s="1" t="n"/>
      <c r="G61" s="1" t="n"/>
      <c r="H61" s="19">
        <f>SUM(H31:H60)</f>
        <v/>
      </c>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28" customHeight="1">
      <c r="A63" s="1" t="n"/>
      <c r="B63" s="1" t="n"/>
      <c r="C63" s="1" t="n"/>
      <c r="D63" s="6" t="inlineStr">
        <is>
          <t>MONTHLY SUMMARY</t>
        </is>
      </c>
      <c r="E63" s="6" t="n"/>
      <c r="F63" s="6" t="n"/>
      <c r="G63" s="6" t="n"/>
      <c r="H63" s="6"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2" t="inlineStr">
        <is>
          <t>Total Income</t>
        </is>
      </c>
      <c r="E65" s="13">
        <f>E13</f>
        <v/>
      </c>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2" t="inlineStr">
        <is>
          <t>Total Fixed Expenses</t>
        </is>
      </c>
      <c r="E66" s="13">
        <f>F26</f>
        <v/>
      </c>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2" t="inlineStr">
        <is>
          <t>Total Variable Expenses</t>
        </is>
      </c>
      <c r="E67" s="13">
        <f>H61</f>
        <v/>
      </c>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8" t="inlineStr">
        <is>
          <t>NET (Income - Expenses)</t>
        </is>
      </c>
      <c r="E68" s="19">
        <f>E13-F26-H61</f>
        <v/>
      </c>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autoFilter ref="D30:H60"/>
  <mergeCells count="4">
    <mergeCell ref="D63:H63"/>
    <mergeCell ref="D5:H5"/>
    <mergeCell ref="D15:H15"/>
    <mergeCell ref="D28:H28"/>
  </mergeCells>
  <conditionalFormatting sqref="G18:G25">
    <cfRule type="cellIs" priority="1" operator="greaterThanOrEqual" dxfId="0">
      <formula>0</formula>
    </cfRule>
    <cfRule type="cellIs" priority="2" operator="lessThan" dxfId="1">
      <formula>0</formula>
    </cfRule>
  </conditionalFormatting>
  <dataValidations count="2">
    <dataValidation sqref="D18 D19 D20 D21 D22 D23 D24 D25"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 sqref="E31 E32 E33 E34 E35 E36 E37 E38 E39 E40 E41 E42 E43 E44 E45 E46 E47 E48 E49 E50 E51 E52 E53 E54 E55 E56 E57 E58 E59 E60"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14.xml><?xml version="1.0" encoding="utf-8"?>
<worksheet xmlns="http://schemas.openxmlformats.org/spreadsheetml/2006/main">
  <sheetPr>
    <tabColor rgb="00768975"/>
    <outlinePr summaryBelow="1" summaryRight="1"/>
    <pageSetUpPr/>
  </sheetPr>
  <dimension ref="A1:AC7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OCTOBER INCOME</t>
        </is>
      </c>
      <c r="E5" s="6" t="n"/>
      <c r="F5" s="6" t="n"/>
      <c r="G5" s="6" t="n"/>
      <c r="H5" s="6" t="n"/>
      <c r="I5" s="1" t="n"/>
      <c r="J5" s="1"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Source</t>
        </is>
      </c>
      <c r="E7" s="14" t="inlineStr">
        <is>
          <t>Amount</t>
        </is>
      </c>
      <c r="F7" s="14" t="inlineStr">
        <is>
          <t>Date Received</t>
        </is>
      </c>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3" t="inlineStr">
        <is>
          <t>Salary</t>
        </is>
      </c>
      <c r="E8" s="27"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6" t="inlineStr">
        <is>
          <t>Side Hustle</t>
        </is>
      </c>
      <c r="E9" s="27"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3" t="inlineStr">
        <is>
          <t>Freelance</t>
        </is>
      </c>
      <c r="E10" s="27"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6" t="inlineStr">
        <is>
          <t>Investments</t>
        </is>
      </c>
      <c r="E11" s="27"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is>
          <t>Other</t>
        </is>
      </c>
      <c r="E12" s="27"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8" t="inlineStr">
        <is>
          <t>TOTAL INCOME</t>
        </is>
      </c>
      <c r="E13" s="19">
        <f>SUM(E8:E12)</f>
        <v/>
      </c>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28" customHeight="1">
      <c r="A15" s="1" t="n"/>
      <c r="B15" s="10" t="inlineStr">
        <is>
          <t>March</t>
        </is>
      </c>
      <c r="C15" s="1" t="n"/>
      <c r="D15" s="6" t="inlineStr">
        <is>
          <t>FIXED EXPENSES</t>
        </is>
      </c>
      <c r="E15" s="6" t="n"/>
      <c r="F15" s="6" t="n"/>
      <c r="G15" s="6" t="n"/>
      <c r="H15" s="6"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4" t="inlineStr">
        <is>
          <t>Category</t>
        </is>
      </c>
      <c r="E17" s="14" t="inlineStr">
        <is>
          <t>Budget</t>
        </is>
      </c>
      <c r="F17" s="14" t="inlineStr">
        <is>
          <t>Actual</t>
        </is>
      </c>
      <c r="G17" s="14" t="inlineStr">
        <is>
          <t>Difference</t>
        </is>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3" t="inlineStr"/>
      <c r="E18" s="27" t="n"/>
      <c r="F18" s="27" t="n"/>
      <c r="G18" s="13">
        <f>E18-F18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6" t="inlineStr"/>
      <c r="E19" s="27" t="n"/>
      <c r="F19" s="27" t="n"/>
      <c r="G19" s="16">
        <f>E19-F19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3" t="inlineStr"/>
      <c r="E20" s="27" t="n"/>
      <c r="F20" s="27" t="n"/>
      <c r="G20" s="13">
        <f>E20-F20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6" t="inlineStr"/>
      <c r="E21" s="27" t="n"/>
      <c r="F21" s="27" t="n"/>
      <c r="G21" s="16">
        <f>E21-F21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1" t="inlineStr">
        <is>
          <t>October</t>
        </is>
      </c>
      <c r="C22" s="1" t="n"/>
      <c r="D22" s="13" t="inlineStr"/>
      <c r="E22" s="27" t="n"/>
      <c r="F22" s="27" t="n"/>
      <c r="G22" s="13">
        <f>E22-F22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6" t="inlineStr"/>
      <c r="E23" s="27" t="n"/>
      <c r="F23" s="27" t="n"/>
      <c r="G23" s="16">
        <f>E23-F23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3" t="inlineStr"/>
      <c r="E24" s="27" t="n"/>
      <c r="F24" s="27" t="n"/>
      <c r="G24" s="13">
        <f>E24-F24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6" t="inlineStr"/>
      <c r="E25" s="27" t="n"/>
      <c r="F25" s="27" t="n"/>
      <c r="G25" s="16">
        <f>E25-F25</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8" t="inlineStr">
        <is>
          <t>TOTAL FIXED</t>
        </is>
      </c>
      <c r="E26" s="19">
        <f>SUM(E18:E25)</f>
        <v/>
      </c>
      <c r="F26" s="19">
        <f>SUM(F18:F25)</f>
        <v/>
      </c>
      <c r="G26" s="19">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28" customHeight="1">
      <c r="A28" s="1" t="n"/>
      <c r="B28" s="10" t="inlineStr">
        <is>
          <t>Expense Dist</t>
        </is>
      </c>
      <c r="C28" s="1" t="n"/>
      <c r="D28" s="6" t="inlineStr">
        <is>
          <t>VARIABLE EXPENSES</t>
        </is>
      </c>
      <c r="E28" s="6" t="n"/>
      <c r="F28" s="6" t="n"/>
      <c r="G28" s="6" t="n"/>
      <c r="H28" s="6"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4" t="inlineStr">
        <is>
          <t>Date</t>
        </is>
      </c>
      <c r="E30" s="14" t="inlineStr">
        <is>
          <t>Category</t>
        </is>
      </c>
      <c r="F30" s="14" t="inlineStr">
        <is>
          <t>Description</t>
        </is>
      </c>
      <c r="G30" s="14" t="inlineStr">
        <is>
          <t>Amount</t>
        </is>
      </c>
      <c r="H30" s="14" t="inlineStr">
        <is>
          <t>Amount</t>
        </is>
      </c>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25" t="inlineStr"/>
      <c r="E31" s="13" t="inlineStr"/>
      <c r="F31" s="13" t="inlineStr"/>
      <c r="G31" s="1" t="n"/>
      <c r="H31" s="15" t="inlineStr"/>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26" t="inlineStr"/>
      <c r="E32" s="16" t="inlineStr"/>
      <c r="F32" s="16" t="inlineStr"/>
      <c r="G32" s="1" t="n"/>
      <c r="H32" s="17" t="inlineStr"/>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25" t="inlineStr"/>
      <c r="E33" s="13" t="inlineStr"/>
      <c r="F33" s="13" t="inlineStr"/>
      <c r="G33" s="1" t="n"/>
      <c r="H33" s="15" t="inlineStr"/>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26" t="inlineStr"/>
      <c r="E34" s="16" t="inlineStr"/>
      <c r="F34" s="16" t="inlineStr"/>
      <c r="G34" s="1" t="n"/>
      <c r="H34" s="17" t="inlineStr"/>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25" t="inlineStr"/>
      <c r="E35" s="13" t="inlineStr"/>
      <c r="F35" s="13" t="inlineStr"/>
      <c r="G35" s="1" t="n"/>
      <c r="H35" s="15" t="inlineStr"/>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26" t="inlineStr"/>
      <c r="E36" s="16" t="inlineStr"/>
      <c r="F36" s="16" t="inlineStr"/>
      <c r="G36" s="1" t="n"/>
      <c r="H36" s="17" t="inlineStr"/>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25" t="inlineStr"/>
      <c r="E37" s="13" t="inlineStr"/>
      <c r="F37" s="13" t="inlineStr"/>
      <c r="G37" s="1" t="n"/>
      <c r="H37" s="15" t="inlineStr"/>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26" t="inlineStr"/>
      <c r="E38" s="16" t="inlineStr"/>
      <c r="F38" s="16" t="inlineStr"/>
      <c r="G38" s="1" t="n"/>
      <c r="H38" s="17" t="inlineStr"/>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25" t="inlineStr"/>
      <c r="E39" s="13" t="inlineStr"/>
      <c r="F39" s="13" t="inlineStr"/>
      <c r="G39" s="1" t="n"/>
      <c r="H39" s="15" t="inlineStr"/>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26" t="inlineStr"/>
      <c r="E40" s="16" t="inlineStr"/>
      <c r="F40" s="16" t="inlineStr"/>
      <c r="G40" s="1" t="n"/>
      <c r="H40" s="17" t="inlineStr"/>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25" t="inlineStr"/>
      <c r="E41" s="13" t="inlineStr"/>
      <c r="F41" s="13" t="inlineStr"/>
      <c r="G41" s="1" t="n"/>
      <c r="H41" s="15" t="inlineStr"/>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26" t="inlineStr"/>
      <c r="E42" s="16" t="inlineStr"/>
      <c r="F42" s="16" t="inlineStr"/>
      <c r="G42" s="1" t="n"/>
      <c r="H42" s="17" t="inlineStr"/>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25" t="inlineStr"/>
      <c r="E43" s="13" t="inlineStr"/>
      <c r="F43" s="13" t="inlineStr"/>
      <c r="G43" s="1" t="n"/>
      <c r="H43" s="15" t="inlineStr"/>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26" t="inlineStr"/>
      <c r="E44" s="16" t="inlineStr"/>
      <c r="F44" s="16" t="inlineStr"/>
      <c r="G44" s="1" t="n"/>
      <c r="H44" s="17" t="inlineStr"/>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25" t="inlineStr"/>
      <c r="E45" s="13" t="inlineStr"/>
      <c r="F45" s="13" t="inlineStr"/>
      <c r="G45" s="1" t="n"/>
      <c r="H45" s="15" t="inlineStr"/>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26" t="inlineStr"/>
      <c r="E46" s="16" t="inlineStr"/>
      <c r="F46" s="16" t="inlineStr"/>
      <c r="G46" s="1" t="n"/>
      <c r="H46" s="17" t="inlineStr"/>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25" t="inlineStr"/>
      <c r="E47" s="13" t="inlineStr"/>
      <c r="F47" s="13" t="inlineStr"/>
      <c r="G47" s="1" t="n"/>
      <c r="H47" s="15" t="inlineStr"/>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26" t="inlineStr"/>
      <c r="E48" s="16" t="inlineStr"/>
      <c r="F48" s="16" t="inlineStr"/>
      <c r="G48" s="1" t="n"/>
      <c r="H48" s="17" t="inlineStr"/>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25" t="inlineStr"/>
      <c r="E49" s="13" t="inlineStr"/>
      <c r="F49" s="13" t="inlineStr"/>
      <c r="G49" s="1" t="n"/>
      <c r="H49" s="15" t="inlineStr"/>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26" t="inlineStr"/>
      <c r="E50" s="16" t="inlineStr"/>
      <c r="F50" s="16" t="inlineStr"/>
      <c r="G50" s="1" t="n"/>
      <c r="H50" s="17" t="inlineStr"/>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25" t="inlineStr"/>
      <c r="E51" s="13" t="inlineStr"/>
      <c r="F51" s="13" t="inlineStr"/>
      <c r="G51" s="1" t="n"/>
      <c r="H51" s="15" t="inlineStr"/>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26" t="inlineStr"/>
      <c r="E52" s="16" t="inlineStr"/>
      <c r="F52" s="16" t="inlineStr"/>
      <c r="G52" s="1" t="n"/>
      <c r="H52" s="17" t="inlineStr"/>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25" t="inlineStr"/>
      <c r="E53" s="13" t="inlineStr"/>
      <c r="F53" s="13" t="inlineStr"/>
      <c r="G53" s="1" t="n"/>
      <c r="H53" s="15" t="inlineStr"/>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26" t="inlineStr"/>
      <c r="E54" s="16" t="inlineStr"/>
      <c r="F54" s="16" t="inlineStr"/>
      <c r="G54" s="1" t="n"/>
      <c r="H54" s="17" t="inlineStr"/>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25" t="inlineStr"/>
      <c r="E55" s="13" t="inlineStr"/>
      <c r="F55" s="13" t="inlineStr"/>
      <c r="G55" s="1" t="n"/>
      <c r="H55" s="15" t="inlineStr"/>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26" t="inlineStr"/>
      <c r="E56" s="16" t="inlineStr"/>
      <c r="F56" s="16" t="inlineStr"/>
      <c r="G56" s="1" t="n"/>
      <c r="H56" s="17" t="inlineStr"/>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25" t="inlineStr"/>
      <c r="E57" s="13" t="inlineStr"/>
      <c r="F57" s="13" t="inlineStr"/>
      <c r="G57" s="1" t="n"/>
      <c r="H57" s="15" t="inlineStr"/>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26" t="inlineStr"/>
      <c r="E58" s="16" t="inlineStr"/>
      <c r="F58" s="16" t="inlineStr"/>
      <c r="G58" s="1" t="n"/>
      <c r="H58" s="17" t="inlineStr"/>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25" t="inlineStr"/>
      <c r="E59" s="13" t="inlineStr"/>
      <c r="F59" s="13" t="inlineStr"/>
      <c r="G59" s="1" t="n"/>
      <c r="H59" s="15" t="inlineStr"/>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26" t="inlineStr"/>
      <c r="E60" s="16" t="inlineStr"/>
      <c r="F60" s="16" t="inlineStr"/>
      <c r="G60" s="1" t="n"/>
      <c r="H60" s="17" t="inlineStr"/>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8" t="inlineStr">
        <is>
          <t>TOTAL VARIABLE</t>
        </is>
      </c>
      <c r="E61" s="1" t="n"/>
      <c r="F61" s="1" t="n"/>
      <c r="G61" s="1" t="n"/>
      <c r="H61" s="19">
        <f>SUM(H31:H60)</f>
        <v/>
      </c>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28" customHeight="1">
      <c r="A63" s="1" t="n"/>
      <c r="B63" s="1" t="n"/>
      <c r="C63" s="1" t="n"/>
      <c r="D63" s="6" t="inlineStr">
        <is>
          <t>MONTHLY SUMMARY</t>
        </is>
      </c>
      <c r="E63" s="6" t="n"/>
      <c r="F63" s="6" t="n"/>
      <c r="G63" s="6" t="n"/>
      <c r="H63" s="6"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2" t="inlineStr">
        <is>
          <t>Total Income</t>
        </is>
      </c>
      <c r="E65" s="13">
        <f>E13</f>
        <v/>
      </c>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2" t="inlineStr">
        <is>
          <t>Total Fixed Expenses</t>
        </is>
      </c>
      <c r="E66" s="13">
        <f>F26</f>
        <v/>
      </c>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2" t="inlineStr">
        <is>
          <t>Total Variable Expenses</t>
        </is>
      </c>
      <c r="E67" s="13">
        <f>H61</f>
        <v/>
      </c>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8" t="inlineStr">
        <is>
          <t>NET (Income - Expenses)</t>
        </is>
      </c>
      <c r="E68" s="19">
        <f>E13-F26-H61</f>
        <v/>
      </c>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autoFilter ref="D30:H60"/>
  <mergeCells count="4">
    <mergeCell ref="D63:H63"/>
    <mergeCell ref="D5:H5"/>
    <mergeCell ref="D15:H15"/>
    <mergeCell ref="D28:H28"/>
  </mergeCells>
  <conditionalFormatting sqref="G18:G25">
    <cfRule type="cellIs" priority="1" operator="greaterThanOrEqual" dxfId="0">
      <formula>0</formula>
    </cfRule>
    <cfRule type="cellIs" priority="2" operator="lessThan" dxfId="1">
      <formula>0</formula>
    </cfRule>
  </conditionalFormatting>
  <dataValidations count="2">
    <dataValidation sqref="D18 D19 D20 D21 D22 D23 D24 D25"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 sqref="E31 E32 E33 E34 E35 E36 E37 E38 E39 E40 E41 E42 E43 E44 E45 E46 E47 E48 E49 E50 E51 E52 E53 E54 E55 E56 E57 E58 E59 E60"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15.xml><?xml version="1.0" encoding="utf-8"?>
<worksheet xmlns="http://schemas.openxmlformats.org/spreadsheetml/2006/main">
  <sheetPr>
    <tabColor rgb="00768975"/>
    <outlinePr summaryBelow="1" summaryRight="1"/>
    <pageSetUpPr/>
  </sheetPr>
  <dimension ref="A1:AC7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NOVEMBER INCOME</t>
        </is>
      </c>
      <c r="E5" s="6" t="n"/>
      <c r="F5" s="6" t="n"/>
      <c r="G5" s="6" t="n"/>
      <c r="H5" s="6" t="n"/>
      <c r="I5" s="1" t="n"/>
      <c r="J5" s="1"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Source</t>
        </is>
      </c>
      <c r="E7" s="14" t="inlineStr">
        <is>
          <t>Amount</t>
        </is>
      </c>
      <c r="F7" s="14" t="inlineStr">
        <is>
          <t>Date Received</t>
        </is>
      </c>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3" t="inlineStr">
        <is>
          <t>Salary</t>
        </is>
      </c>
      <c r="E8" s="27"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6" t="inlineStr">
        <is>
          <t>Side Hustle</t>
        </is>
      </c>
      <c r="E9" s="27"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3" t="inlineStr">
        <is>
          <t>Freelance</t>
        </is>
      </c>
      <c r="E10" s="27"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6" t="inlineStr">
        <is>
          <t>Investments</t>
        </is>
      </c>
      <c r="E11" s="27"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is>
          <t>Other</t>
        </is>
      </c>
      <c r="E12" s="27"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8" t="inlineStr">
        <is>
          <t>TOTAL INCOME</t>
        </is>
      </c>
      <c r="E13" s="19">
        <f>SUM(E8:E12)</f>
        <v/>
      </c>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28" customHeight="1">
      <c r="A15" s="1" t="n"/>
      <c r="B15" s="10" t="inlineStr">
        <is>
          <t>March</t>
        </is>
      </c>
      <c r="C15" s="1" t="n"/>
      <c r="D15" s="6" t="inlineStr">
        <is>
          <t>FIXED EXPENSES</t>
        </is>
      </c>
      <c r="E15" s="6" t="n"/>
      <c r="F15" s="6" t="n"/>
      <c r="G15" s="6" t="n"/>
      <c r="H15" s="6"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4" t="inlineStr">
        <is>
          <t>Category</t>
        </is>
      </c>
      <c r="E17" s="14" t="inlineStr">
        <is>
          <t>Budget</t>
        </is>
      </c>
      <c r="F17" s="14" t="inlineStr">
        <is>
          <t>Actual</t>
        </is>
      </c>
      <c r="G17" s="14" t="inlineStr">
        <is>
          <t>Difference</t>
        </is>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3" t="inlineStr"/>
      <c r="E18" s="27" t="n"/>
      <c r="F18" s="27" t="n"/>
      <c r="G18" s="13">
        <f>E18-F18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6" t="inlineStr"/>
      <c r="E19" s="27" t="n"/>
      <c r="F19" s="27" t="n"/>
      <c r="G19" s="16">
        <f>E19-F19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3" t="inlineStr"/>
      <c r="E20" s="27" t="n"/>
      <c r="F20" s="27" t="n"/>
      <c r="G20" s="13">
        <f>E20-F20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6" t="inlineStr"/>
      <c r="E21" s="27" t="n"/>
      <c r="F21" s="27" t="n"/>
      <c r="G21" s="16">
        <f>E21-F21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3" t="inlineStr"/>
      <c r="E22" s="27" t="n"/>
      <c r="F22" s="27" t="n"/>
      <c r="G22" s="13">
        <f>E22-F22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1" t="inlineStr">
        <is>
          <t>November</t>
        </is>
      </c>
      <c r="C23" s="1" t="n"/>
      <c r="D23" s="16" t="inlineStr"/>
      <c r="E23" s="27" t="n"/>
      <c r="F23" s="27" t="n"/>
      <c r="G23" s="16">
        <f>E23-F23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3" t="inlineStr"/>
      <c r="E24" s="27" t="n"/>
      <c r="F24" s="27" t="n"/>
      <c r="G24" s="13">
        <f>E24-F24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6" t="inlineStr"/>
      <c r="E25" s="27" t="n"/>
      <c r="F25" s="27" t="n"/>
      <c r="G25" s="16">
        <f>E25-F25</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8" t="inlineStr">
        <is>
          <t>TOTAL FIXED</t>
        </is>
      </c>
      <c r="E26" s="19">
        <f>SUM(E18:E25)</f>
        <v/>
      </c>
      <c r="F26" s="19">
        <f>SUM(F18:F25)</f>
        <v/>
      </c>
      <c r="G26" s="19">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28" customHeight="1">
      <c r="A28" s="1" t="n"/>
      <c r="B28" s="10" t="inlineStr">
        <is>
          <t>Expense Dist</t>
        </is>
      </c>
      <c r="C28" s="1" t="n"/>
      <c r="D28" s="6" t="inlineStr">
        <is>
          <t>VARIABLE EXPENSES</t>
        </is>
      </c>
      <c r="E28" s="6" t="n"/>
      <c r="F28" s="6" t="n"/>
      <c r="G28" s="6" t="n"/>
      <c r="H28" s="6"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4" t="inlineStr">
        <is>
          <t>Date</t>
        </is>
      </c>
      <c r="E30" s="14" t="inlineStr">
        <is>
          <t>Category</t>
        </is>
      </c>
      <c r="F30" s="14" t="inlineStr">
        <is>
          <t>Description</t>
        </is>
      </c>
      <c r="G30" s="14" t="inlineStr">
        <is>
          <t>Amount</t>
        </is>
      </c>
      <c r="H30" s="14" t="inlineStr">
        <is>
          <t>Amount</t>
        </is>
      </c>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25" t="inlineStr"/>
      <c r="E31" s="13" t="inlineStr"/>
      <c r="F31" s="13" t="inlineStr"/>
      <c r="G31" s="1" t="n"/>
      <c r="H31" s="15" t="inlineStr"/>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26" t="inlineStr"/>
      <c r="E32" s="16" t="inlineStr"/>
      <c r="F32" s="16" t="inlineStr"/>
      <c r="G32" s="1" t="n"/>
      <c r="H32" s="17" t="inlineStr"/>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25" t="inlineStr"/>
      <c r="E33" s="13" t="inlineStr"/>
      <c r="F33" s="13" t="inlineStr"/>
      <c r="G33" s="1" t="n"/>
      <c r="H33" s="15" t="inlineStr"/>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26" t="inlineStr"/>
      <c r="E34" s="16" t="inlineStr"/>
      <c r="F34" s="16" t="inlineStr"/>
      <c r="G34" s="1" t="n"/>
      <c r="H34" s="17" t="inlineStr"/>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25" t="inlineStr"/>
      <c r="E35" s="13" t="inlineStr"/>
      <c r="F35" s="13" t="inlineStr"/>
      <c r="G35" s="1" t="n"/>
      <c r="H35" s="15" t="inlineStr"/>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26" t="inlineStr"/>
      <c r="E36" s="16" t="inlineStr"/>
      <c r="F36" s="16" t="inlineStr"/>
      <c r="G36" s="1" t="n"/>
      <c r="H36" s="17" t="inlineStr"/>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25" t="inlineStr"/>
      <c r="E37" s="13" t="inlineStr"/>
      <c r="F37" s="13" t="inlineStr"/>
      <c r="G37" s="1" t="n"/>
      <c r="H37" s="15" t="inlineStr"/>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26" t="inlineStr"/>
      <c r="E38" s="16" t="inlineStr"/>
      <c r="F38" s="16" t="inlineStr"/>
      <c r="G38" s="1" t="n"/>
      <c r="H38" s="17" t="inlineStr"/>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25" t="inlineStr"/>
      <c r="E39" s="13" t="inlineStr"/>
      <c r="F39" s="13" t="inlineStr"/>
      <c r="G39" s="1" t="n"/>
      <c r="H39" s="15" t="inlineStr"/>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26" t="inlineStr"/>
      <c r="E40" s="16" t="inlineStr"/>
      <c r="F40" s="16" t="inlineStr"/>
      <c r="G40" s="1" t="n"/>
      <c r="H40" s="17" t="inlineStr"/>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25" t="inlineStr"/>
      <c r="E41" s="13" t="inlineStr"/>
      <c r="F41" s="13" t="inlineStr"/>
      <c r="G41" s="1" t="n"/>
      <c r="H41" s="15" t="inlineStr"/>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26" t="inlineStr"/>
      <c r="E42" s="16" t="inlineStr"/>
      <c r="F42" s="16" t="inlineStr"/>
      <c r="G42" s="1" t="n"/>
      <c r="H42" s="17" t="inlineStr"/>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25" t="inlineStr"/>
      <c r="E43" s="13" t="inlineStr"/>
      <c r="F43" s="13" t="inlineStr"/>
      <c r="G43" s="1" t="n"/>
      <c r="H43" s="15" t="inlineStr"/>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26" t="inlineStr"/>
      <c r="E44" s="16" t="inlineStr"/>
      <c r="F44" s="16" t="inlineStr"/>
      <c r="G44" s="1" t="n"/>
      <c r="H44" s="17" t="inlineStr"/>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25" t="inlineStr"/>
      <c r="E45" s="13" t="inlineStr"/>
      <c r="F45" s="13" t="inlineStr"/>
      <c r="G45" s="1" t="n"/>
      <c r="H45" s="15" t="inlineStr"/>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26" t="inlineStr"/>
      <c r="E46" s="16" t="inlineStr"/>
      <c r="F46" s="16" t="inlineStr"/>
      <c r="G46" s="1" t="n"/>
      <c r="H46" s="17" t="inlineStr"/>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25" t="inlineStr"/>
      <c r="E47" s="13" t="inlineStr"/>
      <c r="F47" s="13" t="inlineStr"/>
      <c r="G47" s="1" t="n"/>
      <c r="H47" s="15" t="inlineStr"/>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26" t="inlineStr"/>
      <c r="E48" s="16" t="inlineStr"/>
      <c r="F48" s="16" t="inlineStr"/>
      <c r="G48" s="1" t="n"/>
      <c r="H48" s="17" t="inlineStr"/>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25" t="inlineStr"/>
      <c r="E49" s="13" t="inlineStr"/>
      <c r="F49" s="13" t="inlineStr"/>
      <c r="G49" s="1" t="n"/>
      <c r="H49" s="15" t="inlineStr"/>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26" t="inlineStr"/>
      <c r="E50" s="16" t="inlineStr"/>
      <c r="F50" s="16" t="inlineStr"/>
      <c r="G50" s="1" t="n"/>
      <c r="H50" s="17" t="inlineStr"/>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25" t="inlineStr"/>
      <c r="E51" s="13" t="inlineStr"/>
      <c r="F51" s="13" t="inlineStr"/>
      <c r="G51" s="1" t="n"/>
      <c r="H51" s="15" t="inlineStr"/>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26" t="inlineStr"/>
      <c r="E52" s="16" t="inlineStr"/>
      <c r="F52" s="16" t="inlineStr"/>
      <c r="G52" s="1" t="n"/>
      <c r="H52" s="17" t="inlineStr"/>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25" t="inlineStr"/>
      <c r="E53" s="13" t="inlineStr"/>
      <c r="F53" s="13" t="inlineStr"/>
      <c r="G53" s="1" t="n"/>
      <c r="H53" s="15" t="inlineStr"/>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26" t="inlineStr"/>
      <c r="E54" s="16" t="inlineStr"/>
      <c r="F54" s="16" t="inlineStr"/>
      <c r="G54" s="1" t="n"/>
      <c r="H54" s="17" t="inlineStr"/>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25" t="inlineStr"/>
      <c r="E55" s="13" t="inlineStr"/>
      <c r="F55" s="13" t="inlineStr"/>
      <c r="G55" s="1" t="n"/>
      <c r="H55" s="15" t="inlineStr"/>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26" t="inlineStr"/>
      <c r="E56" s="16" t="inlineStr"/>
      <c r="F56" s="16" t="inlineStr"/>
      <c r="G56" s="1" t="n"/>
      <c r="H56" s="17" t="inlineStr"/>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25" t="inlineStr"/>
      <c r="E57" s="13" t="inlineStr"/>
      <c r="F57" s="13" t="inlineStr"/>
      <c r="G57" s="1" t="n"/>
      <c r="H57" s="15" t="inlineStr"/>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26" t="inlineStr"/>
      <c r="E58" s="16" t="inlineStr"/>
      <c r="F58" s="16" t="inlineStr"/>
      <c r="G58" s="1" t="n"/>
      <c r="H58" s="17" t="inlineStr"/>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25" t="inlineStr"/>
      <c r="E59" s="13" t="inlineStr"/>
      <c r="F59" s="13" t="inlineStr"/>
      <c r="G59" s="1" t="n"/>
      <c r="H59" s="15" t="inlineStr"/>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26" t="inlineStr"/>
      <c r="E60" s="16" t="inlineStr"/>
      <c r="F60" s="16" t="inlineStr"/>
      <c r="G60" s="1" t="n"/>
      <c r="H60" s="17" t="inlineStr"/>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8" t="inlineStr">
        <is>
          <t>TOTAL VARIABLE</t>
        </is>
      </c>
      <c r="E61" s="1" t="n"/>
      <c r="F61" s="1" t="n"/>
      <c r="G61" s="1" t="n"/>
      <c r="H61" s="19">
        <f>SUM(H31:H60)</f>
        <v/>
      </c>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28" customHeight="1">
      <c r="A63" s="1" t="n"/>
      <c r="B63" s="1" t="n"/>
      <c r="C63" s="1" t="n"/>
      <c r="D63" s="6" t="inlineStr">
        <is>
          <t>MONTHLY SUMMARY</t>
        </is>
      </c>
      <c r="E63" s="6" t="n"/>
      <c r="F63" s="6" t="n"/>
      <c r="G63" s="6" t="n"/>
      <c r="H63" s="6"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2" t="inlineStr">
        <is>
          <t>Total Income</t>
        </is>
      </c>
      <c r="E65" s="13">
        <f>E13</f>
        <v/>
      </c>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2" t="inlineStr">
        <is>
          <t>Total Fixed Expenses</t>
        </is>
      </c>
      <c r="E66" s="13">
        <f>F26</f>
        <v/>
      </c>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2" t="inlineStr">
        <is>
          <t>Total Variable Expenses</t>
        </is>
      </c>
      <c r="E67" s="13">
        <f>H61</f>
        <v/>
      </c>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8" t="inlineStr">
        <is>
          <t>NET (Income - Expenses)</t>
        </is>
      </c>
      <c r="E68" s="19">
        <f>E13-F26-H61</f>
        <v/>
      </c>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autoFilter ref="D30:H60"/>
  <mergeCells count="4">
    <mergeCell ref="D63:H63"/>
    <mergeCell ref="D5:H5"/>
    <mergeCell ref="D15:H15"/>
    <mergeCell ref="D28:H28"/>
  </mergeCells>
  <conditionalFormatting sqref="G18:G25">
    <cfRule type="cellIs" priority="1" operator="greaterThanOrEqual" dxfId="0">
      <formula>0</formula>
    </cfRule>
    <cfRule type="cellIs" priority="2" operator="lessThan" dxfId="1">
      <formula>0</formula>
    </cfRule>
  </conditionalFormatting>
  <dataValidations count="2">
    <dataValidation sqref="D18 D19 D20 D21 D22 D23 D24 D25"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 sqref="E31 E32 E33 E34 E35 E36 E37 E38 E39 E40 E41 E42 E43 E44 E45 E46 E47 E48 E49 E50 E51 E52 E53 E54 E55 E56 E57 E58 E59 E60"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16.xml><?xml version="1.0" encoding="utf-8"?>
<worksheet xmlns="http://schemas.openxmlformats.org/spreadsheetml/2006/main">
  <sheetPr>
    <tabColor rgb="00768975"/>
    <outlinePr summaryBelow="1" summaryRight="1"/>
    <pageSetUpPr/>
  </sheetPr>
  <dimension ref="A1:AC7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DECEMBER INCOME</t>
        </is>
      </c>
      <c r="E5" s="6" t="n"/>
      <c r="F5" s="6" t="n"/>
      <c r="G5" s="6" t="n"/>
      <c r="H5" s="6" t="n"/>
      <c r="I5" s="1" t="n"/>
      <c r="J5" s="1"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Source</t>
        </is>
      </c>
      <c r="E7" s="14" t="inlineStr">
        <is>
          <t>Amount</t>
        </is>
      </c>
      <c r="F7" s="14" t="inlineStr">
        <is>
          <t>Date Received</t>
        </is>
      </c>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3" t="inlineStr">
        <is>
          <t>Salary</t>
        </is>
      </c>
      <c r="E8" s="27"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6" t="inlineStr">
        <is>
          <t>Side Hustle</t>
        </is>
      </c>
      <c r="E9" s="27"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3" t="inlineStr">
        <is>
          <t>Freelance</t>
        </is>
      </c>
      <c r="E10" s="27"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6" t="inlineStr">
        <is>
          <t>Investments</t>
        </is>
      </c>
      <c r="E11" s="27"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is>
          <t>Other</t>
        </is>
      </c>
      <c r="E12" s="27"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8" t="inlineStr">
        <is>
          <t>TOTAL INCOME</t>
        </is>
      </c>
      <c r="E13" s="19">
        <f>SUM(E8:E12)</f>
        <v/>
      </c>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28" customHeight="1">
      <c r="A15" s="1" t="n"/>
      <c r="B15" s="10" t="inlineStr">
        <is>
          <t>March</t>
        </is>
      </c>
      <c r="C15" s="1" t="n"/>
      <c r="D15" s="6" t="inlineStr">
        <is>
          <t>FIXED EXPENSES</t>
        </is>
      </c>
      <c r="E15" s="6" t="n"/>
      <c r="F15" s="6" t="n"/>
      <c r="G15" s="6" t="n"/>
      <c r="H15" s="6"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4" t="inlineStr">
        <is>
          <t>Category</t>
        </is>
      </c>
      <c r="E17" s="14" t="inlineStr">
        <is>
          <t>Budget</t>
        </is>
      </c>
      <c r="F17" s="14" t="inlineStr">
        <is>
          <t>Actual</t>
        </is>
      </c>
      <c r="G17" s="14" t="inlineStr">
        <is>
          <t>Difference</t>
        </is>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3" t="inlineStr"/>
      <c r="E18" s="27" t="n"/>
      <c r="F18" s="27" t="n"/>
      <c r="G18" s="13">
        <f>E18-F18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6" t="inlineStr"/>
      <c r="E19" s="27" t="n"/>
      <c r="F19" s="27" t="n"/>
      <c r="G19" s="16">
        <f>E19-F19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3" t="inlineStr"/>
      <c r="E20" s="27" t="n"/>
      <c r="F20" s="27" t="n"/>
      <c r="G20" s="13">
        <f>E20-F20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6" t="inlineStr"/>
      <c r="E21" s="27" t="n"/>
      <c r="F21" s="27" t="n"/>
      <c r="G21" s="16">
        <f>E21-F21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3" t="inlineStr"/>
      <c r="E22" s="27" t="n"/>
      <c r="F22" s="27" t="n"/>
      <c r="G22" s="13">
        <f>E22-F22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6" t="inlineStr"/>
      <c r="E23" s="27" t="n"/>
      <c r="F23" s="27" t="n"/>
      <c r="G23" s="16">
        <f>E23-F23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1" t="inlineStr">
        <is>
          <t>December</t>
        </is>
      </c>
      <c r="C24" s="1" t="n"/>
      <c r="D24" s="13" t="inlineStr"/>
      <c r="E24" s="27" t="n"/>
      <c r="F24" s="27" t="n"/>
      <c r="G24" s="13">
        <f>E24-F24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6" t="inlineStr"/>
      <c r="E25" s="27" t="n"/>
      <c r="F25" s="27" t="n"/>
      <c r="G25" s="16">
        <f>E25-F25</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8" t="inlineStr">
        <is>
          <t>TOTAL FIXED</t>
        </is>
      </c>
      <c r="E26" s="19">
        <f>SUM(E18:E25)</f>
        <v/>
      </c>
      <c r="F26" s="19">
        <f>SUM(F18:F25)</f>
        <v/>
      </c>
      <c r="G26" s="19">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28" customHeight="1">
      <c r="A28" s="1" t="n"/>
      <c r="B28" s="10" t="inlineStr">
        <is>
          <t>Expense Dist</t>
        </is>
      </c>
      <c r="C28" s="1" t="n"/>
      <c r="D28" s="6" t="inlineStr">
        <is>
          <t>VARIABLE EXPENSES</t>
        </is>
      </c>
      <c r="E28" s="6" t="n"/>
      <c r="F28" s="6" t="n"/>
      <c r="G28" s="6" t="n"/>
      <c r="H28" s="6"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4" t="inlineStr">
        <is>
          <t>Date</t>
        </is>
      </c>
      <c r="E30" s="14" t="inlineStr">
        <is>
          <t>Category</t>
        </is>
      </c>
      <c r="F30" s="14" t="inlineStr">
        <is>
          <t>Description</t>
        </is>
      </c>
      <c r="G30" s="14" t="inlineStr">
        <is>
          <t>Amount</t>
        </is>
      </c>
      <c r="H30" s="14" t="inlineStr">
        <is>
          <t>Amount</t>
        </is>
      </c>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25" t="inlineStr"/>
      <c r="E31" s="13" t="inlineStr"/>
      <c r="F31" s="13" t="inlineStr"/>
      <c r="G31" s="1" t="n"/>
      <c r="H31" s="15" t="inlineStr"/>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26" t="inlineStr"/>
      <c r="E32" s="16" t="inlineStr"/>
      <c r="F32" s="16" t="inlineStr"/>
      <c r="G32" s="1" t="n"/>
      <c r="H32" s="17" t="inlineStr"/>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25" t="inlineStr"/>
      <c r="E33" s="13" t="inlineStr"/>
      <c r="F33" s="13" t="inlineStr"/>
      <c r="G33" s="1" t="n"/>
      <c r="H33" s="15" t="inlineStr"/>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26" t="inlineStr"/>
      <c r="E34" s="16" t="inlineStr"/>
      <c r="F34" s="16" t="inlineStr"/>
      <c r="G34" s="1" t="n"/>
      <c r="H34" s="17" t="inlineStr"/>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25" t="inlineStr"/>
      <c r="E35" s="13" t="inlineStr"/>
      <c r="F35" s="13" t="inlineStr"/>
      <c r="G35" s="1" t="n"/>
      <c r="H35" s="15" t="inlineStr"/>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26" t="inlineStr"/>
      <c r="E36" s="16" t="inlineStr"/>
      <c r="F36" s="16" t="inlineStr"/>
      <c r="G36" s="1" t="n"/>
      <c r="H36" s="17" t="inlineStr"/>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25" t="inlineStr"/>
      <c r="E37" s="13" t="inlineStr"/>
      <c r="F37" s="13" t="inlineStr"/>
      <c r="G37" s="1" t="n"/>
      <c r="H37" s="15" t="inlineStr"/>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26" t="inlineStr"/>
      <c r="E38" s="16" t="inlineStr"/>
      <c r="F38" s="16" t="inlineStr"/>
      <c r="G38" s="1" t="n"/>
      <c r="H38" s="17" t="inlineStr"/>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25" t="inlineStr"/>
      <c r="E39" s="13" t="inlineStr"/>
      <c r="F39" s="13" t="inlineStr"/>
      <c r="G39" s="1" t="n"/>
      <c r="H39" s="15" t="inlineStr"/>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26" t="inlineStr"/>
      <c r="E40" s="16" t="inlineStr"/>
      <c r="F40" s="16" t="inlineStr"/>
      <c r="G40" s="1" t="n"/>
      <c r="H40" s="17" t="inlineStr"/>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25" t="inlineStr"/>
      <c r="E41" s="13" t="inlineStr"/>
      <c r="F41" s="13" t="inlineStr"/>
      <c r="G41" s="1" t="n"/>
      <c r="H41" s="15" t="inlineStr"/>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26" t="inlineStr"/>
      <c r="E42" s="16" t="inlineStr"/>
      <c r="F42" s="16" t="inlineStr"/>
      <c r="G42" s="1" t="n"/>
      <c r="H42" s="17" t="inlineStr"/>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25" t="inlineStr"/>
      <c r="E43" s="13" t="inlineStr"/>
      <c r="F43" s="13" t="inlineStr"/>
      <c r="G43" s="1" t="n"/>
      <c r="H43" s="15" t="inlineStr"/>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26" t="inlineStr"/>
      <c r="E44" s="16" t="inlineStr"/>
      <c r="F44" s="16" t="inlineStr"/>
      <c r="G44" s="1" t="n"/>
      <c r="H44" s="17" t="inlineStr"/>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25" t="inlineStr"/>
      <c r="E45" s="13" t="inlineStr"/>
      <c r="F45" s="13" t="inlineStr"/>
      <c r="G45" s="1" t="n"/>
      <c r="H45" s="15" t="inlineStr"/>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26" t="inlineStr"/>
      <c r="E46" s="16" t="inlineStr"/>
      <c r="F46" s="16" t="inlineStr"/>
      <c r="G46" s="1" t="n"/>
      <c r="H46" s="17" t="inlineStr"/>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25" t="inlineStr"/>
      <c r="E47" s="13" t="inlineStr"/>
      <c r="F47" s="13" t="inlineStr"/>
      <c r="G47" s="1" t="n"/>
      <c r="H47" s="15" t="inlineStr"/>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26" t="inlineStr"/>
      <c r="E48" s="16" t="inlineStr"/>
      <c r="F48" s="16" t="inlineStr"/>
      <c r="G48" s="1" t="n"/>
      <c r="H48" s="17" t="inlineStr"/>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25" t="inlineStr"/>
      <c r="E49" s="13" t="inlineStr"/>
      <c r="F49" s="13" t="inlineStr"/>
      <c r="G49" s="1" t="n"/>
      <c r="H49" s="15" t="inlineStr"/>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26" t="inlineStr"/>
      <c r="E50" s="16" t="inlineStr"/>
      <c r="F50" s="16" t="inlineStr"/>
      <c r="G50" s="1" t="n"/>
      <c r="H50" s="17" t="inlineStr"/>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25" t="inlineStr"/>
      <c r="E51" s="13" t="inlineStr"/>
      <c r="F51" s="13" t="inlineStr"/>
      <c r="G51" s="1" t="n"/>
      <c r="H51" s="15" t="inlineStr"/>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26" t="inlineStr"/>
      <c r="E52" s="16" t="inlineStr"/>
      <c r="F52" s="16" t="inlineStr"/>
      <c r="G52" s="1" t="n"/>
      <c r="H52" s="17" t="inlineStr"/>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25" t="inlineStr"/>
      <c r="E53" s="13" t="inlineStr"/>
      <c r="F53" s="13" t="inlineStr"/>
      <c r="G53" s="1" t="n"/>
      <c r="H53" s="15" t="inlineStr"/>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26" t="inlineStr"/>
      <c r="E54" s="16" t="inlineStr"/>
      <c r="F54" s="16" t="inlineStr"/>
      <c r="G54" s="1" t="n"/>
      <c r="H54" s="17" t="inlineStr"/>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25" t="inlineStr"/>
      <c r="E55" s="13" t="inlineStr"/>
      <c r="F55" s="13" t="inlineStr"/>
      <c r="G55" s="1" t="n"/>
      <c r="H55" s="15" t="inlineStr"/>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26" t="inlineStr"/>
      <c r="E56" s="16" t="inlineStr"/>
      <c r="F56" s="16" t="inlineStr"/>
      <c r="G56" s="1" t="n"/>
      <c r="H56" s="17" t="inlineStr"/>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25" t="inlineStr"/>
      <c r="E57" s="13" t="inlineStr"/>
      <c r="F57" s="13" t="inlineStr"/>
      <c r="G57" s="1" t="n"/>
      <c r="H57" s="15" t="inlineStr"/>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26" t="inlineStr"/>
      <c r="E58" s="16" t="inlineStr"/>
      <c r="F58" s="16" t="inlineStr"/>
      <c r="G58" s="1" t="n"/>
      <c r="H58" s="17" t="inlineStr"/>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25" t="inlineStr"/>
      <c r="E59" s="13" t="inlineStr"/>
      <c r="F59" s="13" t="inlineStr"/>
      <c r="G59" s="1" t="n"/>
      <c r="H59" s="15" t="inlineStr"/>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26" t="inlineStr"/>
      <c r="E60" s="16" t="inlineStr"/>
      <c r="F60" s="16" t="inlineStr"/>
      <c r="G60" s="1" t="n"/>
      <c r="H60" s="17" t="inlineStr"/>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8" t="inlineStr">
        <is>
          <t>TOTAL VARIABLE</t>
        </is>
      </c>
      <c r="E61" s="1" t="n"/>
      <c r="F61" s="1" t="n"/>
      <c r="G61" s="1" t="n"/>
      <c r="H61" s="19">
        <f>SUM(H31:H60)</f>
        <v/>
      </c>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28" customHeight="1">
      <c r="A63" s="1" t="n"/>
      <c r="B63" s="1" t="n"/>
      <c r="C63" s="1" t="n"/>
      <c r="D63" s="6" t="inlineStr">
        <is>
          <t>MONTHLY SUMMARY</t>
        </is>
      </c>
      <c r="E63" s="6" t="n"/>
      <c r="F63" s="6" t="n"/>
      <c r="G63" s="6" t="n"/>
      <c r="H63" s="6"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2" t="inlineStr">
        <is>
          <t>Total Income</t>
        </is>
      </c>
      <c r="E65" s="13">
        <f>E13</f>
        <v/>
      </c>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2" t="inlineStr">
        <is>
          <t>Total Fixed Expenses</t>
        </is>
      </c>
      <c r="E66" s="13">
        <f>F26</f>
        <v/>
      </c>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2" t="inlineStr">
        <is>
          <t>Total Variable Expenses</t>
        </is>
      </c>
      <c r="E67" s="13">
        <f>H61</f>
        <v/>
      </c>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8" t="inlineStr">
        <is>
          <t>NET (Income - Expenses)</t>
        </is>
      </c>
      <c r="E68" s="19">
        <f>E13-F26-H61</f>
        <v/>
      </c>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autoFilter ref="D30:H60"/>
  <mergeCells count="4">
    <mergeCell ref="D63:H63"/>
    <mergeCell ref="D5:H5"/>
    <mergeCell ref="D15:H15"/>
    <mergeCell ref="D28:H28"/>
  </mergeCells>
  <conditionalFormatting sqref="G18:G25">
    <cfRule type="cellIs" priority="1" operator="greaterThanOrEqual" dxfId="0">
      <formula>0</formula>
    </cfRule>
    <cfRule type="cellIs" priority="2" operator="lessThan" dxfId="1">
      <formula>0</formula>
    </cfRule>
  </conditionalFormatting>
  <dataValidations count="2">
    <dataValidation sqref="D18 D19 D20 D21 D22 D23 D24 D25"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 sqref="E31 E32 E33 E34 E35 E36 E37 E38 E39 E40 E41 E42 E43 E44 E45 E46 E47 E48 E49 E50 E51 E52 E53 E54 E55 E56 E57 E58 E59 E60" showDropDown="0" showInputMessage="0" showErrorMessage="0" allowBlank="0" type="list">
      <formula1>"Housing,Utilities,Groceries,Transportation,Insurance,Healthcare,Entertainment,Dining Out,Shopping,Subscriptions,Savings,Debt Payments,Education,Personal Care,Gifts,Miscellaneous"</formula1>
    </dataValidation>
  </dataValidation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17.xml><?xml version="1.0" encoding="utf-8"?>
<worksheet xmlns="http://schemas.openxmlformats.org/spreadsheetml/2006/main">
  <sheetPr>
    <tabColor rgb="00768975"/>
    <outlinePr summaryBelow="1" summaryRight="1"/>
    <pageSetUpPr/>
  </sheetPr>
  <dimension ref="A1:AJ79"/>
  <sheetViews>
    <sheetView showGridLines="0" workbookViewId="0">
      <selection activeCell="A1" sqref="A1"/>
    </sheetView>
  </sheetViews>
  <sheetFormatPr baseColWidth="8" defaultRowHeight="15"/>
  <cols>
    <col width="3.25" customWidth="1" min="1" max="1"/>
    <col width="18.88" customWidth="1" min="2" max="2"/>
    <col width="3.25"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H1" t="inlineStr">
        <is>
          <t>Category</t>
        </is>
      </c>
      <c r="AI1" t="inlineStr">
        <is>
          <t>Target</t>
        </is>
      </c>
      <c r="AJ1" t="inlineStr">
        <is>
          <t>Actual</t>
        </is>
      </c>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H2" t="inlineStr">
        <is>
          <t>Needs</t>
        </is>
      </c>
      <c r="AI2" t="n">
        <v>50</v>
      </c>
      <c r="AJ2">
        <f>G14*100</f>
        <v/>
      </c>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H3" t="inlineStr">
        <is>
          <t>Wants</t>
        </is>
      </c>
      <c r="AI3" t="n">
        <v>30</v>
      </c>
      <c r="AJ3">
        <f>G15*100</f>
        <v/>
      </c>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H4" t="inlineStr">
        <is>
          <t>Savings</t>
        </is>
      </c>
      <c r="AI4" t="n">
        <v>20</v>
      </c>
      <c r="AJ4">
        <f>G16*100</f>
        <v/>
      </c>
    </row>
    <row r="5" ht="28" customHeight="1">
      <c r="A5" s="1" t="n"/>
      <c r="B5" s="10" t="inlineStr">
        <is>
          <t>Instructions</t>
        </is>
      </c>
      <c r="C5" s="1" t="n"/>
      <c r="D5" s="6" t="inlineStr">
        <is>
          <t>50 / 30 / 20 BUDGET RULE</t>
        </is>
      </c>
      <c r="E5" s="6" t="n"/>
      <c r="F5" s="6" t="n"/>
      <c r="G5" s="6" t="n"/>
      <c r="H5" s="6" t="n"/>
      <c r="I5" s="6" t="n"/>
      <c r="J5" s="6" t="n"/>
      <c r="K5" s="6" t="n"/>
      <c r="L5" s="6" t="n"/>
      <c r="M5" s="6" t="n"/>
      <c r="N5" s="6"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28" t="inlineStr">
        <is>
          <t>50% NEEDS - Essential expenses you must pay (housing, utilities, groceries, transportation, insurance, healthcare)</t>
        </is>
      </c>
      <c r="E7" s="3" t="n"/>
      <c r="F7" s="3" t="n"/>
      <c r="G7" s="3" t="n"/>
      <c r="H7" s="3" t="n"/>
      <c r="I7" s="3" t="n"/>
      <c r="J7" s="3" t="n"/>
      <c r="K7" s="3" t="n"/>
      <c r="L7" s="3" t="n"/>
      <c r="M7" s="3" t="n"/>
      <c r="N7" s="4"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28" t="inlineStr">
        <is>
          <t>30% WANTS - Non-essential spending that improves quality of life (entertainment, dining, shopping, subscriptions)</t>
        </is>
      </c>
      <c r="E8" s="3" t="n"/>
      <c r="F8" s="3" t="n"/>
      <c r="G8" s="3" t="n"/>
      <c r="H8" s="3" t="n"/>
      <c r="I8" s="3" t="n"/>
      <c r="J8" s="3" t="n"/>
      <c r="K8" s="3" t="n"/>
      <c r="L8" s="3" t="n"/>
      <c r="M8" s="3" t="n"/>
      <c r="N8" s="4"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28" t="inlineStr">
        <is>
          <t>20% SAVINGS - Savings and debt repayment beyond minimums (savings, investments, extra debt payments)</t>
        </is>
      </c>
      <c r="E9" s="3" t="n"/>
      <c r="F9" s="3" t="n"/>
      <c r="G9" s="3" t="n"/>
      <c r="H9" s="3" t="n"/>
      <c r="I9" s="3" t="n"/>
      <c r="J9" s="3" t="n"/>
      <c r="K9" s="3" t="n"/>
      <c r="L9" s="3" t="n"/>
      <c r="M9" s="3" t="n"/>
      <c r="N9" s="4"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28" customHeight="1">
      <c r="A11" s="1" t="n"/>
      <c r="B11" s="1" t="n"/>
      <c r="C11" s="1" t="n"/>
      <c r="D11" s="6" t="inlineStr">
        <is>
          <t>YOUR ACTUAL SPLIT</t>
        </is>
      </c>
      <c r="E11" s="6" t="n"/>
      <c r="F11" s="6" t="n"/>
      <c r="G11" s="6" t="n"/>
      <c r="H11" s="6" t="n"/>
      <c r="I11" s="6" t="n"/>
      <c r="J11" s="6" t="n"/>
      <c r="K11" s="6" t="n"/>
      <c r="L11" s="6" t="n"/>
      <c r="M11" s="6" t="n"/>
      <c r="N11" s="6"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4" t="inlineStr">
        <is>
          <t>Category</t>
        </is>
      </c>
      <c r="E13" s="14" t="inlineStr">
        <is>
          <t>Target %</t>
        </is>
      </c>
      <c r="F13" s="14" t="inlineStr">
        <is>
          <t>Amount</t>
        </is>
      </c>
      <c r="G13" s="14" t="inlineStr">
        <is>
          <t>Actual %</t>
        </is>
      </c>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3" t="inlineStr">
        <is>
          <t>Needs (50%)</t>
        </is>
      </c>
      <c r="E14" s="29" t="n">
        <v>0.5</v>
      </c>
      <c r="F14" s="15">
        <f>SUMPRODUCT((January!D18:D25="Housing")*(January!F18:F25))+SUMPRODUCT((January!D18:D25="Utilities")*(January!F18:F25))+SUMPRODUCT((January!D18:D25="Insurance")*(January!F18:F25))+SUMPRODUCT((January!D18:D25="Transportation")*(January!F18:F25))+SUMPRODUCT((January!D18:D25="Healthcare")*(January!F18:F25))+SUMPRODUCT((January!D18:D25="Groceries")*(January!F18:F25))</f>
        <v/>
      </c>
      <c r="G14" s="29">
        <f>IF(F17&gt;0,F14/F17,0)</f>
        <v/>
      </c>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15.75" customHeight="1">
      <c r="A15" s="1" t="n"/>
      <c r="B15" s="10" t="inlineStr">
        <is>
          <t>March</t>
        </is>
      </c>
      <c r="C15" s="1" t="n"/>
      <c r="D15" s="16" t="inlineStr">
        <is>
          <t>Wants (30%)</t>
        </is>
      </c>
      <c r="E15" s="30" t="n">
        <v>0.3</v>
      </c>
      <c r="F15" s="17">
        <f>SUMPRODUCT((January!D18:D25="Entertainment")*(January!F18:F25))+SUMPRODUCT((January!D18:D25="Dining Out")*(January!F18:F25))+SUMPRODUCT((January!D18:D25="Shopping")*(January!F18:F25))+SUMPRODUCT((January!D18:D25="Subscriptions")*(January!F18:F25))+SUMPRODUCT((January!D18:D25="Education")*(January!F18:F25))+SUMPRODUCT((January!D18:D25="Personal Care")*(January!F18:F25))+SUMPRODUCT((January!D18:D25="Gifts")*(January!F18:F25))</f>
        <v/>
      </c>
      <c r="G15" s="30">
        <f>IF(F17&gt;0,F15/F17,0)</f>
        <v/>
      </c>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3" t="inlineStr">
        <is>
          <t>Savings (20%)</t>
        </is>
      </c>
      <c r="E16" s="29" t="n">
        <v>0.2</v>
      </c>
      <c r="F16" s="15">
        <f>SUMPRODUCT((January!D18:D25="Savings")*(January!F18:F25))+SUMPRODUCT((January!D18:D25="Debt Payments")*(January!F18:F25))</f>
        <v/>
      </c>
      <c r="G16" s="29">
        <f>IF(F17&gt;0,F16/F17,0)</f>
        <v/>
      </c>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8" t="inlineStr">
        <is>
          <t>TOTAL</t>
        </is>
      </c>
      <c r="E17" s="18" t="inlineStr"/>
      <c r="F17" s="19">
        <f>SUM(F14:F16)</f>
        <v/>
      </c>
      <c r="G17" s="31">
        <f>SUM(G14:G16)</f>
        <v/>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1"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15.75" customHeight="1">
      <c r="A28" s="1" t="n"/>
      <c r="B28" s="10" t="inlineStr">
        <is>
          <t>Expense Dist</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mergeCells count="5">
    <mergeCell ref="D8:N8"/>
    <mergeCell ref="D7:N7"/>
    <mergeCell ref="D11:N11"/>
    <mergeCell ref="D5:N5"/>
    <mergeCell ref="D9:N9"/>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drawing xmlns:r="http://schemas.openxmlformats.org/officeDocument/2006/relationships" r:id="rId22"/>
</worksheet>
</file>

<file path=xl/worksheets/sheet18.xml><?xml version="1.0" encoding="utf-8"?>
<worksheet xmlns="http://schemas.openxmlformats.org/spreadsheetml/2006/main">
  <sheetPr>
    <tabColor rgb="00768975"/>
    <outlinePr summaryBelow="1" summaryRight="1"/>
    <pageSetUpPr/>
  </sheetPr>
  <dimension ref="A1:AC79"/>
  <sheetViews>
    <sheetView showGridLines="0" workbookViewId="0">
      <selection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EXPENSE DISTRIBUTION</t>
        </is>
      </c>
      <c r="E5" s="6" t="n"/>
      <c r="F5" s="6" t="n"/>
      <c r="G5" s="6" t="n"/>
      <c r="H5" s="6" t="n"/>
      <c r="I5" s="6" t="n"/>
      <c r="J5" s="6"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Category</t>
        </is>
      </c>
      <c r="E7" s="14" t="inlineStr">
        <is>
          <t>Total Spent</t>
        </is>
      </c>
      <c r="F7" s="14" t="inlineStr">
        <is>
          <t>% of Total</t>
        </is>
      </c>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3" t="inlineStr">
        <is>
          <t>Housing</t>
        </is>
      </c>
      <c r="E8" s="13">
        <f>'Annual Totals'!Q8</f>
        <v/>
      </c>
      <c r="F8" s="13">
        <f>IF(SUM(E8:E23)&gt;0,E8/SUM(E8:E23),0)</f>
        <v/>
      </c>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6" t="inlineStr">
        <is>
          <t>Utilities</t>
        </is>
      </c>
      <c r="E9" s="16">
        <f>'Annual Totals'!Q9</f>
        <v/>
      </c>
      <c r="F9" s="16">
        <f>IF(SUM(E8:E23)&gt;0,E9/SUM(E8:E23),0)</f>
        <v/>
      </c>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3" t="inlineStr">
        <is>
          <t>Groceries</t>
        </is>
      </c>
      <c r="E10" s="13">
        <f>'Annual Totals'!Q10</f>
        <v/>
      </c>
      <c r="F10" s="13">
        <f>IF(SUM(E8:E23)&gt;0,E10/SUM(E8:E23),0)</f>
        <v/>
      </c>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6" t="inlineStr">
        <is>
          <t>Transportation</t>
        </is>
      </c>
      <c r="E11" s="16">
        <f>'Annual Totals'!Q11</f>
        <v/>
      </c>
      <c r="F11" s="16">
        <f>IF(SUM(E8:E23)&gt;0,E11/SUM(E8:E23),0)</f>
        <v/>
      </c>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is>
          <t>Insurance</t>
        </is>
      </c>
      <c r="E12" s="13">
        <f>'Annual Totals'!Q12</f>
        <v/>
      </c>
      <c r="F12" s="13">
        <f>IF(SUM(E8:E23)&gt;0,E12/SUM(E8:E23),0)</f>
        <v/>
      </c>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6" t="inlineStr">
        <is>
          <t>Healthcare</t>
        </is>
      </c>
      <c r="E13" s="16">
        <f>'Annual Totals'!Q13</f>
        <v/>
      </c>
      <c r="F13" s="16">
        <f>IF(SUM(E8:E23)&gt;0,E13/SUM(E8:E23),0)</f>
        <v/>
      </c>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3" t="inlineStr">
        <is>
          <t>Entertainment</t>
        </is>
      </c>
      <c r="E14" s="13">
        <f>'Annual Totals'!Q14</f>
        <v/>
      </c>
      <c r="F14" s="13">
        <f>IF(SUM(E8:E23)&gt;0,E14/SUM(E8:E23),0)</f>
        <v/>
      </c>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15.75" customHeight="1">
      <c r="A15" s="1" t="n"/>
      <c r="B15" s="10" t="inlineStr">
        <is>
          <t>March</t>
        </is>
      </c>
      <c r="C15" s="1" t="n"/>
      <c r="D15" s="16" t="inlineStr">
        <is>
          <t>Dining Out</t>
        </is>
      </c>
      <c r="E15" s="16">
        <f>'Annual Totals'!Q15</f>
        <v/>
      </c>
      <c r="F15" s="16">
        <f>IF(SUM(E8:E23)&gt;0,E15/SUM(E8:E23),0)</f>
        <v/>
      </c>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3" t="inlineStr">
        <is>
          <t>Shopping</t>
        </is>
      </c>
      <c r="E16" s="13">
        <f>'Annual Totals'!Q16</f>
        <v/>
      </c>
      <c r="F16" s="13">
        <f>IF(SUM(E8:E23)&gt;0,E16/SUM(E8:E23),0)</f>
        <v/>
      </c>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6" t="inlineStr">
        <is>
          <t>Subscriptions</t>
        </is>
      </c>
      <c r="E17" s="16">
        <f>'Annual Totals'!Q17</f>
        <v/>
      </c>
      <c r="F17" s="16">
        <f>IF(SUM(E8:E23)&gt;0,E17/SUM(E8:E23),0)</f>
        <v/>
      </c>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3" t="inlineStr">
        <is>
          <t>Savings</t>
        </is>
      </c>
      <c r="E18" s="13">
        <f>'Annual Totals'!Q18</f>
        <v/>
      </c>
      <c r="F18" s="13">
        <f>IF(SUM(E8:E23)&gt;0,E18/SUM(E8:E23),0)</f>
        <v/>
      </c>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6" t="inlineStr">
        <is>
          <t>Debt Payments</t>
        </is>
      </c>
      <c r="E19" s="16">
        <f>'Annual Totals'!Q19</f>
        <v/>
      </c>
      <c r="F19" s="16">
        <f>IF(SUM(E8:E23)&gt;0,E19/SUM(E8:E23),0)</f>
        <v/>
      </c>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3" t="inlineStr">
        <is>
          <t>Education</t>
        </is>
      </c>
      <c r="E20" s="13">
        <f>'Annual Totals'!Q20</f>
        <v/>
      </c>
      <c r="F20" s="13">
        <f>IF(SUM(E8:E23)&gt;0,E20/SUM(E8:E23),0)</f>
        <v/>
      </c>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6" t="inlineStr">
        <is>
          <t>Personal Care</t>
        </is>
      </c>
      <c r="E21" s="16">
        <f>'Annual Totals'!Q21</f>
        <v/>
      </c>
      <c r="F21" s="16">
        <f>IF(SUM(E8:E23)&gt;0,E21/SUM(E8:E23),0)</f>
        <v/>
      </c>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3" t="inlineStr">
        <is>
          <t>Gifts</t>
        </is>
      </c>
      <c r="E22" s="13">
        <f>'Annual Totals'!Q22</f>
        <v/>
      </c>
      <c r="F22" s="13">
        <f>IF(SUM(E8:E23)&gt;0,E22/SUM(E8:E23),0)</f>
        <v/>
      </c>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6" t="inlineStr">
        <is>
          <t>Miscellaneous</t>
        </is>
      </c>
      <c r="E23" s="16">
        <f>'Annual Totals'!Q23</f>
        <v/>
      </c>
      <c r="F23" s="16">
        <f>IF(SUM(E8:E23)&gt;0,E23/SUM(E8:E23),0)</f>
        <v/>
      </c>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8" t="inlineStr">
        <is>
          <t>TOTAL</t>
        </is>
      </c>
      <c r="E24" s="19">
        <f>SUM(E8:E23)</f>
        <v/>
      </c>
      <c r="F24" s="18" t="inlineStr">
        <is>
          <t>100%</t>
        </is>
      </c>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15.75" customHeight="1">
      <c r="A28" s="1" t="n"/>
      <c r="B28" s="11" t="inlineStr">
        <is>
          <t>Expense Dist</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mergeCells count="1">
    <mergeCell ref="D5:J5"/>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drawing xmlns:r="http://schemas.openxmlformats.org/officeDocument/2006/relationships" r:id="rId22"/>
</worksheet>
</file>

<file path=xl/worksheets/sheet19.xml><?xml version="1.0" encoding="utf-8"?>
<worksheet xmlns="http://schemas.openxmlformats.org/spreadsheetml/2006/main">
  <sheetPr>
    <tabColor rgb="00768975"/>
    <outlinePr summaryBelow="1" summaryRight="1"/>
    <pageSetUpPr/>
  </sheetPr>
  <dimension ref="A1:AC79"/>
  <sheetViews>
    <sheetView showGridLines="0" workbookViewId="0">
      <selection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SINKING FUNDS TRACKER</t>
        </is>
      </c>
      <c r="E5" s="6" t="n"/>
      <c r="F5" s="6" t="n"/>
      <c r="G5" s="6" t="n"/>
      <c r="H5" s="6" t="n"/>
      <c r="I5" s="6" t="n"/>
      <c r="J5" s="1"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Goal Name</t>
        </is>
      </c>
      <c r="E7" s="14" t="inlineStr">
        <is>
          <t>Target Amount</t>
        </is>
      </c>
      <c r="F7" s="14" t="inlineStr">
        <is>
          <t>Current Amount</t>
        </is>
      </c>
      <c r="G7" s="14" t="inlineStr">
        <is>
          <t>Monthly Contribution</t>
        </is>
      </c>
      <c r="H7" s="14" t="inlineStr">
        <is>
          <t>Progress %</t>
        </is>
      </c>
      <c r="I7" s="14" t="inlineStr">
        <is>
          <t>Months Left</t>
        </is>
      </c>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3" t="inlineStr">
        <is>
          <t>Emergency Fund</t>
        </is>
      </c>
      <c r="E8" s="15" t="n">
        <v>10000</v>
      </c>
      <c r="F8" s="15" t="n">
        <v>3500</v>
      </c>
      <c r="G8" s="15" t="n">
        <v>500</v>
      </c>
      <c r="H8" s="13">
        <f>IF(E8&gt;0,F8/E8,0)</f>
        <v/>
      </c>
      <c r="I8" s="13">
        <f>IF(G8&gt;0,ROUNDUP((E8-F8)/G8,0),0)</f>
        <v/>
      </c>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6" t="inlineStr">
        <is>
          <t>Vacation</t>
        </is>
      </c>
      <c r="E9" s="17" t="n">
        <v>3000</v>
      </c>
      <c r="F9" s="17" t="n">
        <v>1200</v>
      </c>
      <c r="G9" s="17" t="n">
        <v>300</v>
      </c>
      <c r="H9" s="16">
        <f>IF(E9&gt;0,F9/E9,0)</f>
        <v/>
      </c>
      <c r="I9" s="16">
        <f>IF(G9&gt;0,ROUNDUP((E9-F9)/G9,0),0)</f>
        <v/>
      </c>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3" t="inlineStr">
        <is>
          <t>Car Maintenance</t>
        </is>
      </c>
      <c r="E10" s="15" t="n">
        <v>1500</v>
      </c>
      <c r="F10" s="15" t="n">
        <v>400</v>
      </c>
      <c r="G10" s="15" t="n">
        <v>150</v>
      </c>
      <c r="H10" s="13">
        <f>IF(E10&gt;0,F10/E10,0)</f>
        <v/>
      </c>
      <c r="I10" s="13">
        <f>IF(G10&gt;0,ROUNDUP((E10-F10)/G10,0),0)</f>
        <v/>
      </c>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6" t="inlineStr">
        <is>
          <t>Holiday Gifts</t>
        </is>
      </c>
      <c r="E11" s="17" t="n">
        <v>1000</v>
      </c>
      <c r="F11" s="17" t="n">
        <v>200</v>
      </c>
      <c r="G11" s="17" t="n">
        <v>100</v>
      </c>
      <c r="H11" s="16">
        <f>IF(E11&gt;0,F11/E11,0)</f>
        <v/>
      </c>
      <c r="I11" s="16">
        <f>IF(G11&gt;0,ROUNDUP((E11-F11)/G11,0),0)</f>
        <v/>
      </c>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is>
          <t>Home Repairs</t>
        </is>
      </c>
      <c r="E12" s="15" t="n">
        <v>5000</v>
      </c>
      <c r="F12" s="15" t="n">
        <v>800</v>
      </c>
      <c r="G12" s="15" t="n">
        <v>200</v>
      </c>
      <c r="H12" s="13">
        <f>IF(E12&gt;0,F12/E12,0)</f>
        <v/>
      </c>
      <c r="I12" s="13">
        <f>IF(G12&gt;0,ROUNDUP((E12-F12)/G12,0),0)</f>
        <v/>
      </c>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6" t="inlineStr"/>
      <c r="E13" s="17" t="inlineStr"/>
      <c r="F13" s="17" t="inlineStr"/>
      <c r="G13" s="17" t="inlineStr"/>
      <c r="H13" s="16">
        <f>IF(E13&gt;0,F13/E13,0)</f>
        <v/>
      </c>
      <c r="I13" s="16">
        <f>IF(G13&gt;0,ROUNDUP((E13-F13)/G13,0),0)</f>
        <v/>
      </c>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3" t="inlineStr"/>
      <c r="E14" s="15" t="inlineStr"/>
      <c r="F14" s="15" t="inlineStr"/>
      <c r="G14" s="15" t="inlineStr"/>
      <c r="H14" s="13">
        <f>IF(E14&gt;0,F14/E14,0)</f>
        <v/>
      </c>
      <c r="I14" s="13">
        <f>IF(G14&gt;0,ROUNDUP((E14-F14)/G14,0),0)</f>
        <v/>
      </c>
      <c r="J14" s="1" t="n"/>
      <c r="K14" s="1" t="n"/>
      <c r="L14" s="1" t="n"/>
      <c r="M14" s="1" t="n"/>
      <c r="N14" s="1" t="n"/>
      <c r="O14" s="1" t="n"/>
      <c r="P14" s="1" t="n"/>
      <c r="Q14" s="1" t="n"/>
      <c r="R14" s="1" t="n"/>
      <c r="S14" s="1" t="n"/>
      <c r="T14" s="1" t="n"/>
      <c r="U14" s="1" t="n"/>
      <c r="V14" s="1" t="n"/>
      <c r="W14" s="1" t="n"/>
      <c r="X14" s="1" t="n"/>
      <c r="Y14" s="1" t="n"/>
      <c r="Z14" s="1" t="n"/>
      <c r="AA14" s="1" t="n"/>
      <c r="AB14" s="1" t="n"/>
      <c r="AC14" s="1" t="n"/>
    </row>
    <row r="15" ht="15.75" customHeight="1">
      <c r="A15" s="1" t="n"/>
      <c r="B15" s="10" t="inlineStr">
        <is>
          <t>March</t>
        </is>
      </c>
      <c r="C15" s="1" t="n"/>
      <c r="D15" s="16" t="inlineStr"/>
      <c r="E15" s="17" t="inlineStr"/>
      <c r="F15" s="17" t="inlineStr"/>
      <c r="G15" s="17" t="inlineStr"/>
      <c r="H15" s="16">
        <f>IF(E15&gt;0,F15/E15,0)</f>
        <v/>
      </c>
      <c r="I15" s="16">
        <f>IF(G15&gt;0,ROUNDUP((E15-F15)/G15,0),0)</f>
        <v/>
      </c>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3" t="inlineStr"/>
      <c r="E16" s="15" t="inlineStr"/>
      <c r="F16" s="15" t="inlineStr"/>
      <c r="G16" s="15" t="inlineStr"/>
      <c r="H16" s="13">
        <f>IF(E16&gt;0,F16/E16,0)</f>
        <v/>
      </c>
      <c r="I16" s="13">
        <f>IF(G16&gt;0,ROUNDUP((E16-F16)/G16,0),0)</f>
        <v/>
      </c>
      <c r="J16" s="1" t="n"/>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6" t="inlineStr"/>
      <c r="E17" s="17" t="inlineStr"/>
      <c r="F17" s="17" t="inlineStr"/>
      <c r="G17" s="17" t="inlineStr"/>
      <c r="H17" s="16">
        <f>IF(E17&gt;0,F17/E17,0)</f>
        <v/>
      </c>
      <c r="I17" s="16">
        <f>IF(G17&gt;0,ROUNDUP((E17-F17)/G17,0),0)</f>
        <v/>
      </c>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8" t="inlineStr">
        <is>
          <t>TOTALS</t>
        </is>
      </c>
      <c r="E18" s="19">
        <f>SUM(E8:E17)</f>
        <v/>
      </c>
      <c r="F18" s="19">
        <f>SUM(F8:F17)</f>
        <v/>
      </c>
      <c r="G18" s="19">
        <f>SUM(G8:G17)</f>
        <v/>
      </c>
      <c r="H18" s="31">
        <f>IF(E18&gt;0,F18/E18,0)</f>
        <v/>
      </c>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15.75" customHeight="1">
      <c r="A28" s="1" t="n"/>
      <c r="B28" s="10" t="inlineStr">
        <is>
          <t>Expense Dist</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1"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mergeCells count="1">
    <mergeCell ref="D5:I5"/>
  </mergeCells>
  <conditionalFormatting sqref="H8:H17">
    <cfRule type="dataBar" priority="1">
      <dataBar>
        <cfvo type="num" val="0"/>
        <cfvo type="num" val="1"/>
        <color rgb="00768975"/>
      </dataBar>
    </cfRule>
  </conditionalFormatting>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20.xml><?xml version="1.0" encoding="utf-8"?>
<worksheet xmlns="http://schemas.openxmlformats.org/spreadsheetml/2006/main">
  <sheetPr>
    <tabColor rgb="00768975"/>
    <outlinePr summaryBelow="1" summaryRight="1"/>
    <pageSetUpPr/>
  </sheetPr>
  <dimension ref="A1:AC79"/>
  <sheetViews>
    <sheetView showGridLines="0" workbookViewId="0">
      <selection activeCell="A1" sqref="A1"/>
    </sheetView>
  </sheetViews>
  <sheetFormatPr baseColWidth="8" defaultRowHeight="15"/>
  <cols>
    <col width="3.25" customWidth="1" min="1" max="1"/>
    <col width="18.88" customWidth="1" min="2" max="2"/>
    <col width="3.25"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DEBT PAYOFF CALCULATOR</t>
        </is>
      </c>
      <c r="E5" s="6" t="n"/>
      <c r="F5" s="6" t="n"/>
      <c r="G5" s="6" t="n"/>
      <c r="H5" s="6" t="n"/>
      <c r="I5" s="6" t="n"/>
      <c r="J5" s="6"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5.75" customHeight="1">
      <c r="A7" s="1" t="n"/>
      <c r="B7" s="1" t="n"/>
      <c r="C7" s="1" t="n"/>
      <c r="D7" s="14" t="inlineStr">
        <is>
          <t>Debt Name</t>
        </is>
      </c>
      <c r="E7" s="14" t="inlineStr">
        <is>
          <t>Balance</t>
        </is>
      </c>
      <c r="F7" s="14" t="inlineStr">
        <is>
          <t>Interest Rate</t>
        </is>
      </c>
      <c r="G7" s="14" t="inlineStr">
        <is>
          <t>Min Payment</t>
        </is>
      </c>
      <c r="H7" s="14" t="inlineStr">
        <is>
          <t>Extra Payment</t>
        </is>
      </c>
      <c r="I7" s="14" t="inlineStr">
        <is>
          <t>Payoff Months</t>
        </is>
      </c>
      <c r="J7" s="14" t="inlineStr">
        <is>
          <t>Total Interest</t>
        </is>
      </c>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3" t="inlineStr">
        <is>
          <t>Credit Card 1</t>
        </is>
      </c>
      <c r="E8" s="15" t="n">
        <v>5000</v>
      </c>
      <c r="F8" s="32" t="n">
        <v>0.199</v>
      </c>
      <c r="G8" s="15" t="n">
        <v>150</v>
      </c>
      <c r="H8" s="15" t="n">
        <v>50</v>
      </c>
      <c r="I8" s="13">
        <f>IF(AND(E8&gt;0,(G8+H8)&gt;(E8*F8/12)),ROUNDUP(E8/((G8+H8)-(E8*F8/12)),0),0)</f>
        <v/>
      </c>
      <c r="J8" s="13">
        <f>IF(I8&gt;0,(G8+H8)*I8-E8,0)</f>
        <v/>
      </c>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6" t="inlineStr">
        <is>
          <t>Credit Card 2</t>
        </is>
      </c>
      <c r="E9" s="17" t="n">
        <v>3000</v>
      </c>
      <c r="F9" s="33" t="n">
        <v>0.169</v>
      </c>
      <c r="G9" s="17" t="n">
        <v>90</v>
      </c>
      <c r="H9" s="17" t="n">
        <v>25</v>
      </c>
      <c r="I9" s="16">
        <f>IF(AND(E9&gt;0,(G9+H9)&gt;(E9*F9/12)),ROUNDUP(E9/((G9+H9)-(E9*F9/12)),0),0)</f>
        <v/>
      </c>
      <c r="J9" s="16">
        <f>IF(I9&gt;0,(G9+H9)*I9-E9,0)</f>
        <v/>
      </c>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3" t="inlineStr">
        <is>
          <t>Student Loan</t>
        </is>
      </c>
      <c r="E10" s="15" t="n">
        <v>25000</v>
      </c>
      <c r="F10" s="32" t="n">
        <v>0.055</v>
      </c>
      <c r="G10" s="15" t="n">
        <v>280</v>
      </c>
      <c r="H10" s="15" t="n">
        <v>0</v>
      </c>
      <c r="I10" s="13">
        <f>IF(AND(E10&gt;0,(G10+H10)&gt;(E10*F10/12)),ROUNDUP(E10/((G10+H10)-(E10*F10/12)),0),0)</f>
        <v/>
      </c>
      <c r="J10" s="13">
        <f>IF(I10&gt;0,(G10+H10)*I10-E10,0)</f>
        <v/>
      </c>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6" t="inlineStr">
        <is>
          <t>Auto Loan</t>
        </is>
      </c>
      <c r="E11" s="17" t="n">
        <v>15000</v>
      </c>
      <c r="F11" s="33" t="n">
        <v>0.049</v>
      </c>
      <c r="G11" s="17" t="n">
        <v>350</v>
      </c>
      <c r="H11" s="17" t="n">
        <v>0</v>
      </c>
      <c r="I11" s="16">
        <f>IF(AND(E11&gt;0,(G11+H11)&gt;(E11*F11/12)),ROUNDUP(E11/((G11+H11)-(E11*F11/12)),0),0)</f>
        <v/>
      </c>
      <c r="J11" s="16">
        <f>IF(I11&gt;0,(G11+H11)*I11-E11,0)</f>
        <v/>
      </c>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3" t="inlineStr"/>
      <c r="E12" s="15" t="inlineStr"/>
      <c r="F12" s="32" t="inlineStr"/>
      <c r="G12" s="15" t="inlineStr"/>
      <c r="H12" s="15" t="inlineStr"/>
      <c r="I12" s="13">
        <f>IF(AND(E12&gt;0,(G12+H12)&gt;(E12*F12/12)),ROUNDUP(E12/((G12+H12)-(E12*F12/12)),0),0)</f>
        <v/>
      </c>
      <c r="J12" s="13">
        <f>IF(I12&gt;0,(G12+H12)*I12-E12,0)</f>
        <v/>
      </c>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6" t="inlineStr"/>
      <c r="E13" s="17" t="inlineStr"/>
      <c r="F13" s="33" t="inlineStr"/>
      <c r="G13" s="17" t="inlineStr"/>
      <c r="H13" s="17" t="inlineStr"/>
      <c r="I13" s="16">
        <f>IF(AND(E13&gt;0,(G13+H13)&gt;(E13*F13/12)),ROUNDUP(E13/((G13+H13)-(E13*F13/12)),0),0)</f>
        <v/>
      </c>
      <c r="J13" s="16">
        <f>IF(I13&gt;0,(G13+H13)*I13-E13,0)</f>
        <v/>
      </c>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3" t="inlineStr"/>
      <c r="E14" s="15" t="inlineStr"/>
      <c r="F14" s="32" t="inlineStr"/>
      <c r="G14" s="15" t="inlineStr"/>
      <c r="H14" s="15" t="inlineStr"/>
      <c r="I14" s="13">
        <f>IF(AND(E14&gt;0,(G14+H14)&gt;(E14*F14/12)),ROUNDUP(E14/((G14+H14)-(E14*F14/12)),0),0)</f>
        <v/>
      </c>
      <c r="J14" s="13">
        <f>IF(I14&gt;0,(G14+H14)*I14-E14,0)</f>
        <v/>
      </c>
      <c r="K14" s="1" t="n"/>
      <c r="L14" s="1" t="n"/>
      <c r="M14" s="1" t="n"/>
      <c r="N14" s="1" t="n"/>
      <c r="O14" s="1" t="n"/>
      <c r="P14" s="1" t="n"/>
      <c r="Q14" s="1" t="n"/>
      <c r="R14" s="1" t="n"/>
      <c r="S14" s="1" t="n"/>
      <c r="T14" s="1" t="n"/>
      <c r="U14" s="1" t="n"/>
      <c r="V14" s="1" t="n"/>
      <c r="W14" s="1" t="n"/>
      <c r="X14" s="1" t="n"/>
      <c r="Y14" s="1" t="n"/>
      <c r="Z14" s="1" t="n"/>
      <c r="AA14" s="1" t="n"/>
      <c r="AB14" s="1" t="n"/>
      <c r="AC14" s="1" t="n"/>
    </row>
    <row r="15" ht="15.75" customHeight="1">
      <c r="A15" s="1" t="n"/>
      <c r="B15" s="10" t="inlineStr">
        <is>
          <t>March</t>
        </is>
      </c>
      <c r="C15" s="1" t="n"/>
      <c r="D15" s="16" t="inlineStr"/>
      <c r="E15" s="17" t="inlineStr"/>
      <c r="F15" s="33" t="inlineStr"/>
      <c r="G15" s="17" t="inlineStr"/>
      <c r="H15" s="17" t="inlineStr"/>
      <c r="I15" s="16">
        <f>IF(AND(E15&gt;0,(G15+H15)&gt;(E15*F15/12)),ROUNDUP(E15/((G15+H15)-(E15*F15/12)),0),0)</f>
        <v/>
      </c>
      <c r="J15" s="16">
        <f>IF(I15&gt;0,(G15+H15)*I15-E15,0)</f>
        <v/>
      </c>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3" t="inlineStr"/>
      <c r="E16" s="15" t="inlineStr"/>
      <c r="F16" s="32" t="inlineStr"/>
      <c r="G16" s="15" t="inlineStr"/>
      <c r="H16" s="15" t="inlineStr"/>
      <c r="I16" s="13">
        <f>IF(AND(E16&gt;0,(G16+H16)&gt;(E16*F16/12)),ROUNDUP(E16/((G16+H16)-(E16*F16/12)),0),0)</f>
        <v/>
      </c>
      <c r="J16" s="13">
        <f>IF(I16&gt;0,(G16+H16)*I16-E16,0)</f>
        <v/>
      </c>
      <c r="K16" s="1" t="n"/>
      <c r="L16" s="1" t="n"/>
      <c r="M16" s="1" t="n"/>
      <c r="N16" s="1" t="n"/>
      <c r="O16" s="1" t="n"/>
      <c r="P16" s="1" t="n"/>
      <c r="Q16" s="1" t="n"/>
      <c r="R16" s="1" t="n"/>
      <c r="S16" s="1" t="n"/>
      <c r="T16" s="1" t="n"/>
      <c r="U16" s="1" t="n"/>
      <c r="V16" s="1" t="n"/>
      <c r="W16" s="1" t="n"/>
      <c r="X16" s="1" t="n"/>
      <c r="Y16" s="1" t="n"/>
      <c r="Z16" s="1" t="n"/>
      <c r="AA16" s="1" t="n"/>
      <c r="AB16" s="1" t="n"/>
      <c r="AC16" s="1" t="n"/>
    </row>
    <row r="17" ht="15.75" customHeight="1">
      <c r="A17" s="1" t="n"/>
      <c r="B17" s="10" t="inlineStr">
        <is>
          <t>May</t>
        </is>
      </c>
      <c r="C17" s="1" t="n"/>
      <c r="D17" s="16" t="inlineStr"/>
      <c r="E17" s="17" t="inlineStr"/>
      <c r="F17" s="33" t="inlineStr"/>
      <c r="G17" s="17" t="inlineStr"/>
      <c r="H17" s="17" t="inlineStr"/>
      <c r="I17" s="16">
        <f>IF(AND(E17&gt;0,(G17+H17)&gt;(E17*F17/12)),ROUNDUP(E17/((G17+H17)-(E17*F17/12)),0),0)</f>
        <v/>
      </c>
      <c r="J17" s="16">
        <f>IF(I17&gt;0,(G17+H17)*I17-E17,0)</f>
        <v/>
      </c>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8" t="inlineStr">
        <is>
          <t>TOTALS</t>
        </is>
      </c>
      <c r="E18" s="19">
        <f>SUM(E8:E17)</f>
        <v/>
      </c>
      <c r="F18" s="1" t="n"/>
      <c r="G18" s="19">
        <f>SUM(G8:G17)</f>
        <v/>
      </c>
      <c r="H18" s="19">
        <f>SUM(H8:H17)</f>
        <v/>
      </c>
      <c r="I18" s="1" t="n"/>
      <c r="J18" s="19">
        <f>SUM(J8:J17)</f>
        <v/>
      </c>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15.75" customHeight="1">
      <c r="A26" s="1" t="n"/>
      <c r="B26" s="9" t="inlineStr">
        <is>
          <t>WEALTH</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15.75" customHeight="1">
      <c r="A27" s="1" t="n"/>
      <c r="B27" s="10" t="inlineStr">
        <is>
          <t>50-30-20</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15.75" customHeight="1">
      <c r="A28" s="1" t="n"/>
      <c r="B28" s="10" t="inlineStr">
        <is>
          <t>Expense Dist</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1" t="inlineStr">
        <is>
          <t>Debt Calc</t>
        </is>
      </c>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0" t="inlineStr">
        <is>
          <t>Net Worth</t>
        </is>
      </c>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mergeCells count="1">
    <mergeCell ref="D5:J5"/>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xl/worksheets/sheet21.xml><?xml version="1.0" encoding="utf-8"?>
<worksheet xmlns="http://schemas.openxmlformats.org/spreadsheetml/2006/main">
  <sheetPr>
    <tabColor rgb="00768975"/>
    <outlinePr summaryBelow="1" summaryRight="1"/>
    <pageSetUpPr/>
  </sheetPr>
  <dimension ref="A1:AC79"/>
  <sheetViews>
    <sheetView showGridLines="0" workbookViewId="0">
      <selection activeCell="A1" sqref="A1"/>
    </sheetView>
  </sheetViews>
  <sheetFormatPr baseColWidth="8" defaultRowHeight="15"/>
  <cols>
    <col width="3.25" customWidth="1" min="1" max="1"/>
    <col width="18.88" customWidth="1" min="2" max="2"/>
    <col width="3.25" customWidth="1" min="3" max="3"/>
    <col width="18" customWidth="1" min="4" max="4"/>
    <col width="18" customWidth="1" min="5" max="5"/>
    <col width="18" customWidth="1" min="6" max="6"/>
    <col width="18" customWidth="1" min="7" max="7"/>
    <col width="18" customWidth="1" min="8" max="8"/>
  </cols>
  <sheetData>
    <row r="1" ht="15.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5.75" customHeight="1">
      <c r="A2" s="1" t="n"/>
      <c r="B2" s="8" t="inlineStr">
        <is>
          <t>Budget Year 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5.7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5.75" customHeight="1">
      <c r="A4" s="1" t="n"/>
      <c r="B4" s="9" t="inlineStr">
        <is>
          <t>SETUP</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28" customHeight="1">
      <c r="A5" s="1" t="n"/>
      <c r="B5" s="10" t="inlineStr">
        <is>
          <t>Instructions</t>
        </is>
      </c>
      <c r="C5" s="1" t="n"/>
      <c r="D5" s="6" t="inlineStr">
        <is>
          <t>NET WORTH TRACKER</t>
        </is>
      </c>
      <c r="E5" s="6" t="n"/>
      <c r="F5" s="6" t="n"/>
      <c r="G5" s="6" t="n"/>
      <c r="H5" s="6" t="n"/>
      <c r="I5" s="1" t="n"/>
      <c r="J5" s="1" t="n"/>
      <c r="K5" s="1" t="n"/>
      <c r="L5" s="1" t="n"/>
      <c r="M5" s="1" t="n"/>
      <c r="N5" s="1" t="n"/>
      <c r="O5" s="1" t="n"/>
      <c r="P5" s="1" t="n"/>
      <c r="Q5" s="1" t="n"/>
      <c r="R5" s="1" t="n"/>
      <c r="S5" s="1" t="n"/>
      <c r="T5" s="1" t="n"/>
      <c r="U5" s="1" t="n"/>
      <c r="V5" s="1" t="n"/>
      <c r="W5" s="1" t="n"/>
      <c r="X5" s="1" t="n"/>
      <c r="Y5" s="1" t="n"/>
      <c r="Z5" s="1" t="n"/>
      <c r="AA5" s="1" t="n"/>
      <c r="AB5" s="1" t="n"/>
      <c r="AC5" s="1" t="n"/>
    </row>
    <row r="6" ht="15.75" customHeight="1">
      <c r="A6" s="1" t="n"/>
      <c r="B6" s="10" t="inlineStr">
        <is>
          <t>Easy Setup</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28" customHeight="1">
      <c r="A7" s="1" t="n"/>
      <c r="B7" s="1" t="n"/>
      <c r="C7" s="1" t="n"/>
      <c r="D7" s="6" t="inlineStr">
        <is>
          <t>ASSETS</t>
        </is>
      </c>
      <c r="E7" s="6" t="n"/>
      <c r="F7" s="6"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5.75" customHeight="1">
      <c r="A8" s="1" t="n"/>
      <c r="B8" s="9" t="inlineStr">
        <is>
          <t>DASHBOARDS</t>
        </is>
      </c>
      <c r="C8" s="1" t="n"/>
      <c r="D8" s="14" t="inlineStr">
        <is>
          <t>Asset</t>
        </is>
      </c>
      <c r="E8" s="14" t="inlineStr">
        <is>
          <t>Value</t>
        </is>
      </c>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5.75" customHeight="1">
      <c r="A9" s="1" t="n"/>
      <c r="B9" s="10" t="inlineStr">
        <is>
          <t>All-in-One Dashboard</t>
        </is>
      </c>
      <c r="C9" s="1" t="n"/>
      <c r="D9" s="13" t="inlineStr">
        <is>
          <t>Checking Account</t>
        </is>
      </c>
      <c r="E9" s="15" t="n">
        <v>5000</v>
      </c>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15.75" customHeight="1">
      <c r="A10" s="1" t="n"/>
      <c r="B10" s="10" t="inlineStr">
        <is>
          <t>Annual Totals</t>
        </is>
      </c>
      <c r="C10" s="1" t="n"/>
      <c r="D10" s="16" t="inlineStr">
        <is>
          <t>Savings Account</t>
        </is>
      </c>
      <c r="E10" s="17" t="n">
        <v>15000</v>
      </c>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5.75" customHeight="1">
      <c r="A11" s="1" t="n"/>
      <c r="B11" s="1" t="n"/>
      <c r="C11" s="1" t="n"/>
      <c r="D11" s="13" t="inlineStr">
        <is>
          <t>Investments (401k/IRA)</t>
        </is>
      </c>
      <c r="E11" s="15" t="n">
        <v>45000</v>
      </c>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5.75" customHeight="1">
      <c r="A12" s="1" t="n"/>
      <c r="B12" s="9" t="inlineStr">
        <is>
          <t>MONTHLY</t>
        </is>
      </c>
      <c r="C12" s="1" t="n"/>
      <c r="D12" s="16" t="inlineStr">
        <is>
          <t>Property</t>
        </is>
      </c>
      <c r="E12" s="17" t="n">
        <v>250000</v>
      </c>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5.75" customHeight="1">
      <c r="A13" s="1" t="n"/>
      <c r="B13" s="10" t="inlineStr">
        <is>
          <t>January</t>
        </is>
      </c>
      <c r="C13" s="1" t="n"/>
      <c r="D13" s="13" t="inlineStr">
        <is>
          <t>Vehicles</t>
        </is>
      </c>
      <c r="E13" s="15" t="n">
        <v>18000</v>
      </c>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5.75" customHeight="1">
      <c r="A14" s="1" t="n"/>
      <c r="B14" s="10" t="inlineStr">
        <is>
          <t>February</t>
        </is>
      </c>
      <c r="C14" s="1" t="n"/>
      <c r="D14" s="16" t="inlineStr">
        <is>
          <t>Other Assets</t>
        </is>
      </c>
      <c r="E14" s="17" t="n">
        <v>2000</v>
      </c>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row>
    <row r="15" ht="15.75" customHeight="1">
      <c r="A15" s="1" t="n"/>
      <c r="B15" s="10" t="inlineStr">
        <is>
          <t>March</t>
        </is>
      </c>
      <c r="C15" s="1" t="n"/>
      <c r="D15" s="18" t="inlineStr">
        <is>
          <t>TOTAL ASSETS</t>
        </is>
      </c>
      <c r="E15" s="19">
        <f>SUM(E9:E14)</f>
        <v/>
      </c>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row>
    <row r="16" ht="15.75" customHeight="1">
      <c r="A16" s="1" t="n"/>
      <c r="B16" s="10" t="inlineStr">
        <is>
          <t>April</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row>
    <row r="17" ht="28" customHeight="1">
      <c r="A17" s="1" t="n"/>
      <c r="B17" s="10" t="inlineStr">
        <is>
          <t>May</t>
        </is>
      </c>
      <c r="C17" s="1" t="n"/>
      <c r="D17" s="6" t="inlineStr">
        <is>
          <t>LIABILITIES</t>
        </is>
      </c>
      <c r="E17" s="6" t="n"/>
      <c r="F17" s="6"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row>
    <row r="18" ht="15.75" customHeight="1">
      <c r="A18" s="1" t="n"/>
      <c r="B18" s="10" t="inlineStr">
        <is>
          <t>June</t>
        </is>
      </c>
      <c r="C18" s="1" t="n"/>
      <c r="D18" s="14" t="inlineStr">
        <is>
          <t>Liability</t>
        </is>
      </c>
      <c r="E18" s="14" t="inlineStr">
        <is>
          <t>Balance</t>
        </is>
      </c>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row>
    <row r="19" ht="15.75" customHeight="1">
      <c r="A19" s="1" t="n"/>
      <c r="B19" s="10" t="inlineStr">
        <is>
          <t>July</t>
        </is>
      </c>
      <c r="C19" s="1" t="n"/>
      <c r="D19" s="13" t="inlineStr">
        <is>
          <t>Mortgage</t>
        </is>
      </c>
      <c r="E19" s="15" t="n">
        <v>200000</v>
      </c>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row>
    <row r="20" ht="15.75" customHeight="1">
      <c r="A20" s="1" t="n"/>
      <c r="B20" s="10" t="inlineStr">
        <is>
          <t>August</t>
        </is>
      </c>
      <c r="C20" s="1" t="n"/>
      <c r="D20" s="16" t="inlineStr">
        <is>
          <t>Student Loans</t>
        </is>
      </c>
      <c r="E20" s="17" t="n">
        <v>25000</v>
      </c>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row>
    <row r="21" ht="15.75" customHeight="1">
      <c r="A21" s="1" t="n"/>
      <c r="B21" s="10" t="inlineStr">
        <is>
          <t>September</t>
        </is>
      </c>
      <c r="C21" s="1" t="n"/>
      <c r="D21" s="13" t="inlineStr">
        <is>
          <t>Credit Cards</t>
        </is>
      </c>
      <c r="E21" s="15" t="n">
        <v>8000</v>
      </c>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5.75" customHeight="1">
      <c r="A22" s="1" t="n"/>
      <c r="B22" s="10" t="inlineStr">
        <is>
          <t>October</t>
        </is>
      </c>
      <c r="C22" s="1" t="n"/>
      <c r="D22" s="16" t="inlineStr">
        <is>
          <t>Auto Loan</t>
        </is>
      </c>
      <c r="E22" s="17" t="n">
        <v>15000</v>
      </c>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5.75" customHeight="1">
      <c r="A23" s="1" t="n"/>
      <c r="B23" s="10" t="inlineStr">
        <is>
          <t>November</t>
        </is>
      </c>
      <c r="C23" s="1" t="n"/>
      <c r="D23" s="13" t="inlineStr">
        <is>
          <t>Other Liabilities</t>
        </is>
      </c>
      <c r="E23" s="15" t="n">
        <v>0</v>
      </c>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5.75" customHeight="1">
      <c r="A24" s="1" t="n"/>
      <c r="B24" s="10" t="inlineStr">
        <is>
          <t>December</t>
        </is>
      </c>
      <c r="C24" s="1" t="n"/>
      <c r="D24" s="18" t="inlineStr">
        <is>
          <t>TOTAL LIABILITIES</t>
        </is>
      </c>
      <c r="E24" s="19">
        <f>SUM(E19:E23)</f>
        <v/>
      </c>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5.7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28" customHeight="1">
      <c r="A26" s="1" t="n"/>
      <c r="B26" s="9" t="inlineStr">
        <is>
          <t>WEALTH</t>
        </is>
      </c>
      <c r="C26" s="1" t="n"/>
      <c r="D26" s="6" t="inlineStr">
        <is>
          <t>NET WORTH</t>
        </is>
      </c>
      <c r="E26" s="6"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row>
    <row r="27" ht="40" customHeight="1">
      <c r="A27" s="1" t="n"/>
      <c r="B27" s="10" t="inlineStr">
        <is>
          <t>50-30-20</t>
        </is>
      </c>
      <c r="C27" s="1" t="n"/>
      <c r="D27" s="20">
        <f>E15-E24</f>
        <v/>
      </c>
      <c r="E27" s="34"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row>
    <row r="28" ht="15.75" customHeight="1">
      <c r="A28" s="1" t="n"/>
      <c r="B28" s="10" t="inlineStr">
        <is>
          <t>Expense Dist</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15.75" customHeight="1">
      <c r="A29" s="1" t="n"/>
      <c r="B29" s="10" t="inlineStr">
        <is>
          <t>Sinking Funds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15.75" customHeight="1">
      <c r="A30" s="1" t="n"/>
      <c r="B30" s="10" t="inlineStr">
        <is>
          <t>Debt Calc</t>
        </is>
      </c>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15.75" customHeight="1">
      <c r="A31" s="1" t="n"/>
      <c r="B31" s="11" t="inlineStr">
        <is>
          <t>Net Worth</t>
        </is>
      </c>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15.7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15.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row>
    <row r="34" ht="15.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ht="15.7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row>
    <row r="36" ht="15.7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row>
    <row r="37" ht="15.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row>
    <row r="38" ht="15.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row>
    <row r="39" ht="15.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row>
    <row r="40" ht="15.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5.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15.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5.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5.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5.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5.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row>
    <row r="50" ht="15.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5.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5.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5.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15.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15.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5.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row>
    <row r="60" ht="15.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5.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5.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5.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5.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sheetData>
  <mergeCells count="5">
    <mergeCell ref="D27:E27"/>
    <mergeCell ref="D5:H5"/>
    <mergeCell ref="D17:F17"/>
    <mergeCell ref="D7:F7"/>
    <mergeCell ref="D26:E26"/>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9" r:id="rId3"/>
    <hyperlink xmlns:r="http://schemas.openxmlformats.org/officeDocument/2006/relationships" ref="B10"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6" r:id="rId8"/>
    <hyperlink xmlns:r="http://schemas.openxmlformats.org/officeDocument/2006/relationships" ref="B17" r:id="rId9"/>
    <hyperlink xmlns:r="http://schemas.openxmlformats.org/officeDocument/2006/relationships" ref="B18" r:id="rId10"/>
    <hyperlink xmlns:r="http://schemas.openxmlformats.org/officeDocument/2006/relationships" ref="B19" r:id="rId11"/>
    <hyperlink xmlns:r="http://schemas.openxmlformats.org/officeDocument/2006/relationships" ref="B20" r:id="rId12"/>
    <hyperlink xmlns:r="http://schemas.openxmlformats.org/officeDocument/2006/relationships" ref="B21" r:id="rId13"/>
    <hyperlink xmlns:r="http://schemas.openxmlformats.org/officeDocument/2006/relationships" ref="B22" r:id="rId14"/>
    <hyperlink xmlns:r="http://schemas.openxmlformats.org/officeDocument/2006/relationships" ref="B23" r:id="rId15"/>
    <hyperlink xmlns:r="http://schemas.openxmlformats.org/officeDocument/2006/relationships" ref="B24"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 xmlns:r="http://schemas.openxmlformats.org/officeDocument/2006/relationships" ref="B31"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2026-04-04T22:54:46Z</dcterms:created>
  <dcterms:modified xsi:type="dcterms:W3CDTF">2026-04-04T22:54:49Z</dcterms:modified>
</cp:coreProperties>
</file>