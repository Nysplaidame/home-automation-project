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up" sheetId="2" state="visible" r:id="rId2"/>
    <sheet name="Book Tracker" sheetId="3" state="visible" r:id="rId3"/>
    <sheet name="Books Gallery" sheetId="4" state="visible" r:id="rId4"/>
    <sheet name="Reading Calendar" sheetId="5" state="visible" r:id="rId5"/>
    <sheet name="Wishlist" sheetId="6" state="visible" r:id="rId6"/>
    <sheet name="Dashboard" sheetId="7" state="visible" r:id="rId7"/>
  </sheets>
  <definedNames>
    <definedName name="_xlnm._FilterDatabase" localSheetId="2" hidden="1">'Book Tracker'!$D$7:$O$207</definedName>
    <definedName name="_xlnm._FilterDatabase" localSheetId="5" hidden="1">'Wishlist'!$D$7:$K$107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D YYYY"/>
    <numFmt numFmtId="165" formatCode="0.0"/>
  </numFmts>
  <fonts count="22">
    <font>
      <name val="Calibri"/>
      <family val="2"/>
      <color theme="1"/>
      <sz val="11"/>
      <scheme val="minor"/>
    </font>
    <font>
      <name val="Montserrat"/>
      <b val="1"/>
      <color rgb="003D405B"/>
      <sz val="22"/>
    </font>
    <font>
      <name val="Calibri"/>
      <color rgb="00888888"/>
      <sz val="12"/>
    </font>
    <font>
      <name val="Montserrat"/>
      <b val="1"/>
      <color rgb="003D405B"/>
      <sz val="12"/>
    </font>
    <font>
      <name val="Calibri"/>
      <b val="1"/>
      <color rgb="003D405B"/>
      <sz val="10"/>
    </font>
    <font>
      <name val="Calibri"/>
      <color rgb="003D405B"/>
      <sz val="10"/>
    </font>
    <font>
      <name val="Calibri"/>
      <b val="1"/>
      <color rgb="0081B29A"/>
      <sz val="11"/>
    </font>
    <font>
      <name val="Montserrat"/>
      <b val="1"/>
      <color rgb="003D405B"/>
      <sz val="11"/>
    </font>
    <font>
      <name val="Calibri"/>
      <b val="1"/>
      <color rgb="00999999"/>
      <sz val="8"/>
    </font>
    <font>
      <name val="Calibri"/>
      <color rgb="0081B29A"/>
      <sz val="10"/>
      <u val="single"/>
    </font>
    <font>
      <name val="Calibri"/>
      <b val="1"/>
      <color rgb="003D405B"/>
      <sz val="10"/>
      <u val="single"/>
    </font>
    <font>
      <name val="Calibri"/>
      <b val="1"/>
      <color rgb="00FFFFFF"/>
      <sz val="10"/>
    </font>
    <font>
      <name val="Montserrat"/>
      <b val="1"/>
      <color rgb="003D405B"/>
      <sz val="16"/>
    </font>
    <font>
      <name val="Calibri"/>
      <b val="1"/>
      <color rgb="0081B29A"/>
      <sz val="14"/>
    </font>
    <font>
      <name val="Calibri"/>
      <color rgb="00F2CC8F"/>
      <sz val="10"/>
    </font>
    <font>
      <name val="Calibri"/>
      <color rgb="00888888"/>
      <sz val="9"/>
    </font>
    <font>
      <name val="Calibri"/>
      <color rgb="00FFFFFF"/>
      <sz val="20"/>
    </font>
    <font>
      <name val="Calibri"/>
      <b val="1"/>
      <color rgb="003D405B"/>
      <sz val="9"/>
    </font>
    <font>
      <name val="Calibri"/>
      <color rgb="00F2CC8F"/>
      <sz val="8"/>
    </font>
    <font>
      <name val="Calibri"/>
      <b val="1"/>
      <color rgb="0081B29A"/>
      <sz val="12"/>
    </font>
    <font>
      <name val="Calibri"/>
      <color rgb="0081B29A"/>
      <sz val="7"/>
    </font>
    <font>
      <name val="Calibri"/>
      <b val="1"/>
      <color rgb="003D405B"/>
      <sz val="24"/>
    </font>
  </fonts>
  <fills count="10">
    <fill>
      <patternFill/>
    </fill>
    <fill>
      <patternFill patternType="gray125"/>
    </fill>
    <fill>
      <patternFill patternType="solid">
        <fgColor rgb="0081B29A"/>
      </patternFill>
    </fill>
    <fill>
      <patternFill patternType="solid">
        <fgColor rgb="00FAFAF8"/>
      </patternFill>
    </fill>
    <fill>
      <patternFill patternType="solid">
        <fgColor rgb="00F7F5F0"/>
      </patternFill>
    </fill>
    <fill>
      <patternFill patternType="solid">
        <fgColor rgb="00FFFFFF"/>
      </patternFill>
    </fill>
    <fill>
      <patternFill patternType="solid">
        <fgColor rgb="00F4F1DE"/>
      </patternFill>
    </fill>
    <fill>
      <patternFill patternType="solid">
        <fgColor rgb="003D405B"/>
      </patternFill>
    </fill>
    <fill>
      <patternFill patternType="solid">
        <fgColor rgb="00F9F9F7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right/>
    </border>
    <border>
      <right style="thin">
        <color rgb="00E8E8E4"/>
      </right>
    </border>
    <border>
      <left style="thin">
        <color rgb="00E8E8E4"/>
      </left>
      <right style="thin">
        <color rgb="00E8E8E4"/>
      </right>
      <top style="thin">
        <color rgb="00E8E8E4"/>
      </top>
      <bottom style="thin">
        <color rgb="00E8E8E4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6" fillId="3" borderId="0" pivotButton="0" quotePrefix="0" xfId="0"/>
    <xf numFmtId="0" fontId="0" fillId="4" borderId="1" pivotButton="0" quotePrefix="0" xfId="0"/>
    <xf numFmtId="0" fontId="0" fillId="4" borderId="2" pivotButton="0" quotePrefix="0" xfId="0"/>
    <xf numFmtId="0" fontId="7" fillId="4" borderId="1" applyAlignment="1" pivotButton="0" quotePrefix="0" xfId="0">
      <alignment horizontal="left" vertical="center" wrapText="1"/>
    </xf>
    <xf numFmtId="0" fontId="12" fillId="3" borderId="0" pivotButton="0" quotePrefix="0" xfId="0"/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11" fillId="2" borderId="1" applyAlignment="1" pivotButton="0" quotePrefix="0" xfId="0">
      <alignment horizontal="left" vertical="center" wrapText="1"/>
    </xf>
    <xf numFmtId="0" fontId="0" fillId="2" borderId="2" pivotButton="0" quotePrefix="0" xfId="0"/>
    <xf numFmtId="0" fontId="13" fillId="5" borderId="3" applyAlignment="1" pivotButton="0" quotePrefix="0" xfId="0">
      <alignment horizontal="center" vertical="center" wrapText="1"/>
    </xf>
    <xf numFmtId="0" fontId="14" fillId="3" borderId="0" pivotButton="0" quotePrefix="0" xfId="0"/>
    <xf numFmtId="0" fontId="5" fillId="3" borderId="0" pivotButton="0" quotePrefix="0" xfId="0"/>
    <xf numFmtId="0" fontId="11" fillId="2" borderId="3" pivotButton="0" quotePrefix="0" xfId="0"/>
    <xf numFmtId="0" fontId="5" fillId="5" borderId="3" pivotButton="0" quotePrefix="0" xfId="0"/>
    <xf numFmtId="0" fontId="15" fillId="6" borderId="3" applyAlignment="1" pivotButton="0" quotePrefix="0" xfId="0">
      <alignment horizontal="right" vertical="center"/>
    </xf>
    <xf numFmtId="0" fontId="6" fillId="6" borderId="3" applyAlignment="1" pivotButton="0" quotePrefix="0" xfId="0">
      <alignment horizontal="left" vertical="center" wrapText="1"/>
    </xf>
    <xf numFmtId="0" fontId="0" fillId="6" borderId="3" pivotButton="0" quotePrefix="0" xfId="0"/>
    <xf numFmtId="0" fontId="11" fillId="7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3" fontId="5" fillId="5" borderId="3" applyAlignment="1" pivotButton="0" quotePrefix="0" xfId="0">
      <alignment horizontal="center" vertical="center" wrapText="1"/>
    </xf>
    <xf numFmtId="164" fontId="5" fillId="5" borderId="3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left" vertical="center" wrapText="1"/>
    </xf>
    <xf numFmtId="3" fontId="5" fillId="8" borderId="3" applyAlignment="1" pivotButton="0" quotePrefix="0" xfId="0">
      <alignment horizontal="center" vertical="center" wrapText="1"/>
    </xf>
    <xf numFmtId="164" fontId="5" fillId="8" borderId="3" applyAlignment="1" pivotButton="0" quotePrefix="0" xfId="0">
      <alignment horizontal="left" vertical="center" wrapText="1"/>
    </xf>
    <xf numFmtId="0" fontId="16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0" fontId="17" fillId="5" borderId="3" applyAlignment="1" pivotButton="0" quotePrefix="0" xfId="0">
      <alignment horizontal="center" vertical="center" wrapText="1"/>
    </xf>
    <xf numFmtId="0" fontId="15" fillId="5" borderId="3" applyAlignment="1" pivotButton="0" quotePrefix="0" xfId="0">
      <alignment horizontal="center" vertical="center" wrapText="1"/>
    </xf>
    <xf numFmtId="0" fontId="18" fillId="5" borderId="3" applyAlignment="1" pivotButton="0" quotePrefix="0" xfId="0">
      <alignment horizontal="center" vertical="center" wrapText="1"/>
    </xf>
    <xf numFmtId="0" fontId="19" fillId="5" borderId="3" pivotButton="0" quotePrefix="0" xfId="0"/>
    <xf numFmtId="0" fontId="0" fillId="5" borderId="3" applyAlignment="1" pivotButton="0" quotePrefix="0" xfId="0">
      <alignment horizontal="center" vertical="top"/>
    </xf>
    <xf numFmtId="0" fontId="17" fillId="5" borderId="3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 wrapText="1"/>
    </xf>
    <xf numFmtId="0" fontId="17" fillId="9" borderId="3" applyAlignment="1" pivotButton="0" quotePrefix="0" xfId="0">
      <alignment horizontal="center" vertical="top"/>
    </xf>
    <xf numFmtId="0" fontId="20" fillId="9" borderId="3" applyAlignment="1" pivotButton="0" quotePrefix="0" xfId="0">
      <alignment horizontal="center" vertical="top" wrapText="1"/>
    </xf>
    <xf numFmtId="0" fontId="4" fillId="0" borderId="0" pivotButton="0" quotePrefix="0" xfId="0"/>
    <xf numFmtId="0" fontId="0" fillId="2" borderId="3" pivotButton="0" quotePrefix="0" xfId="0"/>
    <xf numFmtId="3" fontId="21" fillId="5" borderId="3" applyAlignment="1" pivotButton="0" quotePrefix="0" xfId="0">
      <alignment horizontal="center" vertical="center" wrapText="1"/>
    </xf>
    <xf numFmtId="0" fontId="0" fillId="3" borderId="3" pivotButton="0" quotePrefix="0" xfId="0"/>
    <xf numFmtId="165" fontId="21" fillId="5" borderId="3" applyAlignment="1" pivotButton="0" quotePrefix="0" xfId="0">
      <alignment horizontal="center" vertical="center" wrapText="1"/>
    </xf>
    <xf numFmtId="9" fontId="21" fillId="5" borderId="3" applyAlignment="1" pivotButton="0" quotePrefix="0" xfId="0">
      <alignment horizontal="center" vertical="center" wrapText="1"/>
    </xf>
    <xf numFmtId="9" fontId="4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8F5E9"/>
        </patternFill>
      </fill>
    </dxf>
    <dxf>
      <fill>
        <patternFill patternType="solid">
          <fgColor rgb="00FFF8E1"/>
        </patternFill>
      </fill>
    </dxf>
    <dxf>
      <fill>
        <patternFill patternType="solid">
          <fgColor rgb="00FCE4EC"/>
        </patternFill>
      </fill>
    </dxf>
    <dxf>
      <font>
        <name val="Calibri"/>
        <b val="1"/>
        <color rgb="00F2CC8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BOOKS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'Dashboard'!AI3</f>
            </strRef>
          </tx>
          <spPr>
            <a:solidFill>
              <a:srgbClr val="81B29A"/>
            </a:solidFill>
            <a:ln>
              <a:prstDash val="solid"/>
            </a:ln>
          </spPr>
          <cat>
            <numRef>
              <f>'Dashboard'!$AH$4:$AH$15</f>
            </numRef>
          </cat>
          <val>
            <numRef>
              <f>'Dashboard'!$AI$4:$AI$15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Books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GENRE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'Dashboard'!AM3</f>
            </strRef>
          </tx>
          <spPr>
            <a:ln>
              <a:prstDash val="solid"/>
            </a:ln>
          </spPr>
          <cat>
            <numRef>
              <f>'Dashboard'!$AL$4:$AL$8</f>
            </numRef>
          </cat>
          <val>
            <numRef>
              <f>'Dashboard'!$AM$4:$AM$8</f>
            </numRef>
          </val>
        </ser>
        <dLbls>
          <showVal val="1"/>
          <showCatName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RATING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'Dashboard'!AP3</f>
            </strRef>
          </tx>
          <spPr>
            <a:solidFill>
              <a:srgbClr val="F2CC8F"/>
            </a:solidFill>
            <a:ln>
              <a:prstDash val="solid"/>
            </a:ln>
          </spPr>
          <cat>
            <numRef>
              <f>'Dashboard'!$AO$4:$AO$8</f>
            </numRef>
          </cat>
          <val>
            <numRef>
              <f>'Dashboard'!$AP$4:$AP$8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PAGES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'Dashboard'!AJ3</f>
            </strRef>
          </tx>
          <spPr>
            <a:solidFill>
              <a:srgbClr val="E07A5F"/>
            </a:solidFill>
            <a:ln>
              <a:prstDash val="solid"/>
            </a:ln>
          </spPr>
          <cat>
            <numRef>
              <f>'Dashboard'!$AH$4:$AH$15</f>
            </numRef>
          </cat>
          <val>
            <numRef>
              <f>'Dashboard'!$AJ$4:$AJ$15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Pages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13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25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25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1B29A"/>
    <outlinePr summaryBelow="1" summaryRight="1"/>
    <pageSetUpPr/>
  </sheetPr>
  <dimension ref="A1:O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5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6" customHeight="1">
      <c r="A3" s="1" t="n"/>
      <c r="B3" s="1" t="n"/>
      <c r="C3" s="2" t="inlineStr">
        <is>
          <t>📚 BOOK TRACKER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5.75" customHeight="1">
      <c r="A4" s="1" t="n"/>
      <c r="B4" s="1" t="n"/>
      <c r="C4" s="3" t="inlineStr">
        <is>
          <t>Your Personal Reading Companion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4" customHeight="1">
      <c r="A5" s="1" t="n"/>
      <c r="B5" s="1" t="n"/>
      <c r="C5" s="4" t="n"/>
      <c r="D5" s="4" t="n"/>
      <c r="E5" s="4" t="n"/>
      <c r="F5" s="4" t="n"/>
      <c r="G5" s="4" t="n"/>
      <c r="H5" s="4" t="n"/>
      <c r="I5" s="4" t="n"/>
      <c r="J5" s="1" t="n"/>
      <c r="K5" s="1" t="n"/>
      <c r="L5" s="1" t="n"/>
      <c r="M5" s="1" t="n"/>
      <c r="N5" s="1" t="n"/>
      <c r="O5" s="1" t="n"/>
    </row>
    <row r="6" ht="15.7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15.75" customHeight="1">
      <c r="A7" s="1" t="n"/>
      <c r="B7" s="1" t="n"/>
      <c r="C7" s="5" t="inlineStr">
        <is>
          <t>WELCOME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15.7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15.75" customHeight="1">
      <c r="A9" s="1" t="n"/>
      <c r="B9" s="1" t="n"/>
      <c r="C9" s="6" t="inlineStr">
        <is>
          <t>Welcome to your Book Tracker!</t>
        </is>
      </c>
      <c r="D9" s="7" t="inlineStr">
        <is>
          <t>This premium spreadsheet helps you organize your reading life,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15.75" customHeight="1">
      <c r="A10" s="1" t="n"/>
      <c r="B10" s="1" t="n"/>
      <c r="C10" s="7" t="inlineStr">
        <is>
          <t>track your progress, and discover patterns in your reading habits.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15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15.75" customHeight="1">
      <c r="A12" s="1" t="n"/>
      <c r="B12" s="1" t="n"/>
      <c r="C12" s="8" t="inlineStr">
        <is>
          <t>GETTING STARTED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15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15.75" customHeight="1">
      <c r="A14" s="1" t="n"/>
      <c r="B14" s="1" t="n"/>
      <c r="C14" s="6" t="inlineStr">
        <is>
          <t>Step 1:</t>
        </is>
      </c>
      <c r="D14" s="7" t="inlineStr">
        <is>
          <t>Go to the Setup tab to configure your reading goal and preferences.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15.75" customHeight="1">
      <c r="A15" s="1" t="n"/>
      <c r="B15" s="1" t="n"/>
      <c r="C15" s="6" t="inlineStr">
        <is>
          <t>Step 2:</t>
        </is>
      </c>
      <c r="D15" s="7" t="inlineStr">
        <is>
          <t>Start logging books in the Book Tracker tab — the heart of this spreadsheet.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5.75" customHeight="1">
      <c r="A16" s="1" t="n"/>
      <c r="B16" s="1" t="n"/>
      <c r="C16" s="6" t="inlineStr">
        <is>
          <t>Step 3:</t>
        </is>
      </c>
      <c r="D16" s="7" t="inlineStr">
        <is>
          <t>Watch your Dashboard come alive with charts and statistics.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15.75" customHeight="1">
      <c r="A17" s="1" t="n"/>
      <c r="B17" s="1" t="n"/>
      <c r="C17" s="6" t="inlineStr">
        <is>
          <t>Step 4:</t>
        </is>
      </c>
      <c r="D17" s="7" t="inlineStr">
        <is>
          <t>Use the Wishlist to plan your next reads.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5.75" customHeight="1">
      <c r="A18" s="1" t="n"/>
      <c r="B18" s="1" t="n"/>
      <c r="C18" s="6" t="inlineStr">
        <is>
          <t>Step 5:</t>
        </is>
      </c>
      <c r="D18" s="7" t="inlineStr">
        <is>
          <t>Browse your Books Gallery for a visual overview of your library.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5.7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15.75" customHeight="1">
      <c r="A20" s="1" t="n"/>
      <c r="B20" s="1" t="n"/>
      <c r="C20" s="8" t="inlineStr">
        <is>
          <t>TABS OVERVIEW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5.75" customHeight="1">
      <c r="A22" s="1" t="n"/>
      <c r="B22" s="1" t="n"/>
      <c r="C22" s="6" t="inlineStr">
        <is>
          <t>📋 Setup</t>
        </is>
      </c>
      <c r="D22" s="7" t="inlineStr">
        <is>
          <t>Configure your reading goal, genres, and preferences.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5.75" customHeight="1">
      <c r="A23" s="1" t="n"/>
      <c r="B23" s="1" t="n"/>
      <c r="C23" s="6" t="inlineStr">
        <is>
          <t>📖 Book Tracker</t>
        </is>
      </c>
      <c r="D23" s="7" t="inlineStr">
        <is>
          <t>Log every book — title, author, genre, status, rating, and more.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5.75" customHeight="1">
      <c r="A24" s="1" t="n"/>
      <c r="B24" s="1" t="n"/>
      <c r="C24" s="6" t="inlineStr">
        <is>
          <t>🖼️ Books Gallery</t>
        </is>
      </c>
      <c r="D24" s="7" t="inlineStr">
        <is>
          <t>Visual grid of your books with cover placeholders and ratings.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15.75" customHeight="1">
      <c r="A25" s="1" t="n"/>
      <c r="B25" s="1" t="n"/>
      <c r="C25" s="6" t="inlineStr">
        <is>
          <t>📅 Reading Calendar</t>
        </is>
      </c>
      <c r="D25" s="7" t="inlineStr">
        <is>
          <t>See when you finished books on a monthly calendar view.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15.75" customHeight="1">
      <c r="A26" s="1" t="n"/>
      <c r="B26" s="1" t="n"/>
      <c r="C26" s="6" t="inlineStr">
        <is>
          <t>💫 Wishlist</t>
        </is>
      </c>
      <c r="D26" s="7" t="inlineStr">
        <is>
          <t>Keep track of books you want to read next.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15.75" customHeight="1">
      <c r="A27" s="1" t="n"/>
      <c r="B27" s="1" t="n"/>
      <c r="C27" s="6" t="inlineStr">
        <is>
          <t>📊 Dashboard</t>
        </is>
      </c>
      <c r="D27" s="7" t="inlineStr">
        <is>
          <t>Charts and stats that summarize your reading year.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15.75" customHeight="1">
      <c r="A29" s="1" t="n"/>
      <c r="B29" s="1" t="n"/>
      <c r="C29" s="8" t="inlineStr">
        <is>
          <t>TIPS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 ht="15.75" customHeight="1">
      <c r="A31" s="1" t="n"/>
      <c r="B31" s="1" t="n"/>
      <c r="C31" s="6" t="inlineStr">
        <is>
          <t>•</t>
        </is>
      </c>
      <c r="D31" s="7" t="inlineStr">
        <is>
          <t>Use the dropdowns for Genre, Status, Rating, and Format for consistency.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 ht="15.75" customHeight="1">
      <c r="A32" s="1" t="n"/>
      <c r="B32" s="1" t="n"/>
      <c r="C32" s="6" t="inlineStr">
        <is>
          <t>•</t>
        </is>
      </c>
      <c r="D32" s="7" t="inlineStr">
        <is>
          <t>The Dashboard updates automatically as you log books.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15.75" customHeight="1">
      <c r="A33" s="1" t="n"/>
      <c r="B33" s="1" t="n"/>
      <c r="C33" s="6" t="inlineStr">
        <is>
          <t>•</t>
        </is>
      </c>
      <c r="D33" s="7" t="inlineStr">
        <is>
          <t>Days to Read calculates automatically when you enter start and finish dates.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 ht="15.75" customHeight="1">
      <c r="A34" s="1" t="n"/>
      <c r="B34" s="1" t="n"/>
      <c r="C34" s="6" t="inlineStr">
        <is>
          <t>•</t>
        </is>
      </c>
      <c r="D34" s="7" t="inlineStr">
        <is>
          <t>5 sample books are pre-filled — feel free to replace them with your own!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15.75" customHeight="1">
      <c r="A35" s="1" t="n"/>
      <c r="B35" s="1" t="n"/>
      <c r="C35" s="6" t="inlineStr">
        <is>
          <t>•</t>
        </is>
      </c>
      <c r="D35" s="7" t="inlineStr">
        <is>
          <t>Freeze panes are set on the Book Tracker so headers stay visible.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15.75" customHeight="1">
      <c r="A38" s="1" t="n"/>
      <c r="B38" s="1" t="n"/>
      <c r="C38" s="9" t="inlineStr">
        <is>
          <t>▶  Start by going to the Setup tab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</sheetData>
  <mergeCells count="25">
    <mergeCell ref="D27:I27"/>
    <mergeCell ref="D32:I32"/>
    <mergeCell ref="D17:I17"/>
    <mergeCell ref="C7:I7"/>
    <mergeCell ref="C38:I38"/>
    <mergeCell ref="D16:I16"/>
    <mergeCell ref="C3:I3"/>
    <mergeCell ref="D18:I18"/>
    <mergeCell ref="D9:I9"/>
    <mergeCell ref="D25:I25"/>
    <mergeCell ref="D15:I15"/>
    <mergeCell ref="D33:I33"/>
    <mergeCell ref="D24:I24"/>
    <mergeCell ref="D14:I14"/>
    <mergeCell ref="D23:I23"/>
    <mergeCell ref="C4:I4"/>
    <mergeCell ref="C20:I20"/>
    <mergeCell ref="C29:I29"/>
    <mergeCell ref="C10:I10"/>
    <mergeCell ref="D35:I35"/>
    <mergeCell ref="D26:I26"/>
    <mergeCell ref="D34:I34"/>
    <mergeCell ref="D22:I22"/>
    <mergeCell ref="D31:I31"/>
    <mergeCell ref="C12:I12"/>
  </mergeCells>
  <hyperlinks>
    <hyperlink ref="C38" location="'Setup'!D1" display="Start by going to the Setup tab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1B29A"/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20" customWidth="1" min="4" max="4"/>
    <col width="16" customWidth="1" min="5" max="5"/>
    <col width="20" customWidth="1" min="6" max="6"/>
    <col width="16" customWidth="1" min="7" max="7"/>
  </cols>
  <sheetData>
    <row r="1" ht="15.75" customHeight="1">
      <c r="A1" s="10" t="n"/>
      <c r="B1" s="10" t="n"/>
      <c r="C1" s="1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5.75" customHeight="1">
      <c r="A2" s="10" t="n"/>
      <c r="B2" s="12" t="inlineStr">
        <is>
          <t>📚 BOOK TRACKER</t>
        </is>
      </c>
      <c r="C2" s="1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8" customHeight="1">
      <c r="A3" s="10" t="n"/>
      <c r="B3" s="10" t="n"/>
      <c r="C3" s="11" t="n"/>
      <c r="D3" s="13" t="inlineStr">
        <is>
          <t>⚙️  SETUP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4" customHeight="1">
      <c r="A4" s="10" t="n"/>
      <c r="B4" s="14" t="inlineStr">
        <is>
          <t>SETUP</t>
        </is>
      </c>
      <c r="C4" s="11" t="n"/>
      <c r="D4" s="4" t="n"/>
      <c r="E4" s="4" t="n"/>
      <c r="F4" s="4" t="n"/>
      <c r="G4" s="4" t="n"/>
      <c r="H4" s="4" t="n"/>
      <c r="I4" s="4" t="n"/>
      <c r="J4" s="4" t="n"/>
      <c r="K4" s="1" t="n"/>
      <c r="L4" s="1" t="n"/>
      <c r="M4" s="1" t="n"/>
      <c r="N4" s="1" t="n"/>
      <c r="O4" s="1" t="n"/>
    </row>
    <row r="5" ht="15.75" customHeight="1">
      <c r="A5" s="10" t="n"/>
      <c r="B5" s="15" t="inlineStr">
        <is>
          <t>Instructions</t>
        </is>
      </c>
      <c r="C5" s="1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5.75" customHeight="1">
      <c r="A6" s="16" t="n"/>
      <c r="B6" s="17" t="inlineStr">
        <is>
          <t>Setup</t>
        </is>
      </c>
      <c r="C6" s="18" t="n"/>
      <c r="D6" s="8" t="inlineStr">
        <is>
          <t>READING GOAL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15.75" customHeight="1">
      <c r="A7" s="10" t="n"/>
      <c r="B7" s="10" t="n"/>
      <c r="C7" s="11" t="n"/>
      <c r="D7" s="6" t="inlineStr">
        <is>
          <t>Books per year:</t>
        </is>
      </c>
      <c r="E7" s="19" t="n">
        <v>24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15.75" customHeight="1">
      <c r="A8" s="10" t="n"/>
      <c r="B8" s="14" t="inlineStr">
        <is>
          <t>LIBRARY</t>
        </is>
      </c>
      <c r="C8" s="1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15.75" customHeight="1">
      <c r="A9" s="10" t="n"/>
      <c r="B9" s="15" t="inlineStr">
        <is>
          <t>Book Tracker</t>
        </is>
      </c>
      <c r="C9" s="11" t="n"/>
      <c r="D9" s="8" t="inlineStr">
        <is>
          <t>RATING SYSTEM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15.75" customHeight="1">
      <c r="A10" s="10" t="n"/>
      <c r="B10" s="15" t="inlineStr">
        <is>
          <t>Books Gallery</t>
        </is>
      </c>
      <c r="C10" s="11" t="n"/>
      <c r="D10" s="20" t="inlineStr">
        <is>
          <t>★☆☆☆☆</t>
        </is>
      </c>
      <c r="E10" s="21" t="inlineStr">
        <is>
          <t>1 — Did not enjoy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15.75" customHeight="1">
      <c r="A11" s="10" t="n"/>
      <c r="B11" s="10" t="n"/>
      <c r="C11" s="11" t="n"/>
      <c r="D11" s="20" t="inlineStr">
        <is>
          <t>★★☆☆☆</t>
        </is>
      </c>
      <c r="E11" s="21" t="inlineStr">
        <is>
          <t>2 — It was okay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15.75" customHeight="1">
      <c r="A12" s="10" t="n"/>
      <c r="B12" s="14" t="inlineStr">
        <is>
          <t>PLANNING</t>
        </is>
      </c>
      <c r="C12" s="11" t="n"/>
      <c r="D12" s="20" t="inlineStr">
        <is>
          <t>★★★☆☆</t>
        </is>
      </c>
      <c r="E12" s="21" t="inlineStr">
        <is>
          <t>3 — Liked it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15.75" customHeight="1">
      <c r="A13" s="10" t="n"/>
      <c r="B13" s="15" t="inlineStr">
        <is>
          <t>Reading Calendar</t>
        </is>
      </c>
      <c r="C13" s="11" t="n"/>
      <c r="D13" s="20" t="inlineStr">
        <is>
          <t>★★★★☆</t>
        </is>
      </c>
      <c r="E13" s="21" t="inlineStr">
        <is>
          <t>4 — Really liked it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15.75" customHeight="1">
      <c r="A14" s="10" t="n"/>
      <c r="B14" s="15" t="inlineStr">
        <is>
          <t>Wishlist</t>
        </is>
      </c>
      <c r="C14" s="11" t="n"/>
      <c r="D14" s="20" t="inlineStr">
        <is>
          <t>★★★★★</t>
        </is>
      </c>
      <c r="E14" s="21" t="inlineStr">
        <is>
          <t>5 — Loved it!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15.75" customHeight="1">
      <c r="A15" s="10" t="n"/>
      <c r="B15" s="10" t="n"/>
      <c r="C15" s="1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5.75" customHeight="1">
      <c r="A16" s="10" t="n"/>
      <c r="B16" s="14" t="inlineStr">
        <is>
          <t>OVERVIEW</t>
        </is>
      </c>
      <c r="C16" s="11" t="n"/>
      <c r="D16" s="8" t="inlineStr">
        <is>
          <t>STATUS OPTIONS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15.75" customHeight="1">
      <c r="A17" s="10" t="n"/>
      <c r="B17" s="15" t="inlineStr">
        <is>
          <t>Dashboard</t>
        </is>
      </c>
      <c r="C17" s="11" t="n"/>
      <c r="D17" s="6" t="inlineStr">
        <is>
          <t>📖 Reading</t>
        </is>
      </c>
      <c r="E17" s="21" t="inlineStr">
        <is>
          <t>Currently reading this book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5.75" customHeight="1">
      <c r="A18" s="10" t="n"/>
      <c r="B18" s="10" t="n"/>
      <c r="C18" s="11" t="n"/>
      <c r="D18" s="6" t="inlineStr">
        <is>
          <t>✅ Finished</t>
        </is>
      </c>
      <c r="E18" s="21" t="inlineStr">
        <is>
          <t>Completed the book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5.75" customHeight="1">
      <c r="A19" s="10" t="n"/>
      <c r="B19" s="10" t="n"/>
      <c r="C19" s="11" t="n"/>
      <c r="D19" s="6" t="inlineStr">
        <is>
          <t>❌ DNF</t>
        </is>
      </c>
      <c r="E19" s="21" t="inlineStr">
        <is>
          <t>Did Not Finish — stopped reading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15.75" customHeight="1">
      <c r="A20" s="10" t="n"/>
      <c r="B20" s="10" t="n"/>
      <c r="C20" s="11" t="n"/>
      <c r="D20" s="6" t="inlineStr">
        <is>
          <t>📋 TBR</t>
        </is>
      </c>
      <c r="E20" s="21" t="inlineStr">
        <is>
          <t>To Be Read — on the list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5.75" customHeight="1">
      <c r="A21" s="10" t="n"/>
      <c r="B21" s="10" t="n"/>
      <c r="C21" s="11" t="n"/>
      <c r="D21" s="6" t="inlineStr">
        <is>
          <t>⏸️ On Hold</t>
        </is>
      </c>
      <c r="E21" s="21" t="inlineStr">
        <is>
          <t>Paused for now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5.75" customHeight="1">
      <c r="A22" s="10" t="n"/>
      <c r="B22" s="10" t="n"/>
      <c r="C22" s="1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5.75" customHeight="1">
      <c r="A23" s="10" t="n"/>
      <c r="B23" s="10" t="n"/>
      <c r="C23" s="11" t="n"/>
      <c r="D23" s="8" t="inlineStr">
        <is>
          <t>FORMAT OPTIONS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5.75" customHeight="1">
      <c r="A24" s="10" t="n"/>
      <c r="B24" s="10" t="n"/>
      <c r="C24" s="11" t="n"/>
      <c r="D24" s="21" t="inlineStr">
        <is>
          <t>Physical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15.75" customHeight="1">
      <c r="A25" s="10" t="n"/>
      <c r="B25" s="10" t="n"/>
      <c r="C25" s="11" t="n"/>
      <c r="D25" s="21" t="inlineStr">
        <is>
          <t>eBook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15.75" customHeight="1">
      <c r="A26" s="10" t="n"/>
      <c r="B26" s="10" t="n"/>
      <c r="C26" s="11" t="n"/>
      <c r="D26" s="21" t="inlineStr">
        <is>
          <t>Audiobook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15.75" customHeight="1">
      <c r="A27" s="10" t="n"/>
      <c r="B27" s="10" t="n"/>
      <c r="C27" s="1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15.75" customHeight="1">
      <c r="A28" s="10" t="n"/>
      <c r="B28" s="10" t="n"/>
      <c r="C28" s="11" t="n"/>
      <c r="D28" s="8" t="inlineStr">
        <is>
          <t>OWNERSHIP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15.75" customHeight="1">
      <c r="A29" s="10" t="n"/>
      <c r="B29" s="10" t="n"/>
      <c r="C29" s="11" t="n"/>
      <c r="D29" s="21" t="inlineStr">
        <is>
          <t>Owned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15.75" customHeight="1">
      <c r="A30" s="10" t="n"/>
      <c r="B30" s="10" t="n"/>
      <c r="C30" s="11" t="n"/>
      <c r="D30" s="21" t="inlineStr">
        <is>
          <t>Library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 ht="15.75" customHeight="1">
      <c r="A31" s="10" t="n"/>
      <c r="B31" s="10" t="n"/>
      <c r="C31" s="11" t="n"/>
      <c r="D31" s="21" t="inlineStr">
        <is>
          <t>Borrowed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 ht="15.75" customHeight="1">
      <c r="A32" s="10" t="n"/>
      <c r="B32" s="10" t="n"/>
      <c r="C32" s="11" t="n"/>
      <c r="D32" s="21" t="inlineStr">
        <is>
          <t>Gifted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15.75" customHeight="1">
      <c r="A33" s="10" t="n"/>
      <c r="B33" s="10" t="n"/>
      <c r="C33" s="1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 ht="15.75" customHeight="1">
      <c r="A34" s="10" t="n"/>
      <c r="B34" s="10" t="n"/>
      <c r="C34" s="11" t="n"/>
      <c r="D34" s="8" t="inlineStr">
        <is>
          <t>GENRES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15.75" customHeight="1">
      <c r="A35" s="10" t="n"/>
      <c r="B35" s="10" t="n"/>
      <c r="C35" s="11" t="n"/>
      <c r="D35" s="22" t="inlineStr">
        <is>
          <t>Genre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 ht="15.75" customHeight="1">
      <c r="A36" s="10" t="n"/>
      <c r="B36" s="10" t="n"/>
      <c r="C36" s="11" t="n"/>
      <c r="D36" s="23" t="inlineStr">
        <is>
          <t>Fantasy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 ht="15.75" customHeight="1">
      <c r="A37" s="10" t="n"/>
      <c r="B37" s="10" t="n"/>
      <c r="C37" s="11" t="n"/>
      <c r="D37" s="23" t="inlineStr">
        <is>
          <t>Sci-Fi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15.75" customHeight="1">
      <c r="A38" s="10" t="n"/>
      <c r="B38" s="10" t="n"/>
      <c r="C38" s="11" t="n"/>
      <c r="D38" s="23" t="inlineStr">
        <is>
          <t>Romance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15.75" customHeight="1">
      <c r="A39" s="10" t="n"/>
      <c r="B39" s="10" t="n"/>
      <c r="C39" s="11" t="n"/>
      <c r="D39" s="23" t="inlineStr">
        <is>
          <t>Mystery/Thriller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 ht="15.75" customHeight="1">
      <c r="A40" s="10" t="n"/>
      <c r="B40" s="10" t="n"/>
      <c r="C40" s="11" t="n"/>
      <c r="D40" s="23" t="inlineStr">
        <is>
          <t>Non-Fiction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 ht="15.75" customHeight="1">
      <c r="A41" s="10" t="n"/>
      <c r="B41" s="10" t="n"/>
      <c r="C41" s="11" t="n"/>
      <c r="D41" s="23" t="inlineStr">
        <is>
          <t>Biography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 ht="15.75" customHeight="1">
      <c r="A42" s="10" t="n"/>
      <c r="B42" s="10" t="n"/>
      <c r="C42" s="11" t="n"/>
      <c r="D42" s="23" t="inlineStr">
        <is>
          <t>Self-Help</t>
        </is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>
      <c r="A43" s="10" t="n"/>
      <c r="B43" s="10" t="n"/>
      <c r="C43" s="11" t="n"/>
      <c r="D43" s="23" t="inlineStr">
        <is>
          <t>Historical Fiction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>
      <c r="A44" s="10" t="n"/>
      <c r="B44" s="10" t="n"/>
      <c r="C44" s="11" t="n"/>
      <c r="D44" s="23" t="inlineStr">
        <is>
          <t>Horror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5.75" customHeight="1">
      <c r="A45" s="10" t="n"/>
      <c r="B45" s="10" t="n"/>
      <c r="C45" s="11" t="n"/>
      <c r="D45" s="23" t="inlineStr">
        <is>
          <t>Literary Fiction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5.75" customHeight="1">
      <c r="A46" s="10" t="n"/>
      <c r="B46" s="10" t="n"/>
      <c r="C46" s="11" t="n"/>
      <c r="D46" s="23" t="inlineStr">
        <is>
          <t>YA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>
      <c r="A47" s="10" t="n"/>
      <c r="B47" s="10" t="n"/>
      <c r="C47" s="11" t="n"/>
      <c r="D47" s="23" t="inlineStr">
        <is>
          <t>Poetry</t>
        </is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15.75" customHeight="1">
      <c r="A48" s="10" t="n"/>
      <c r="B48" s="10" t="n"/>
      <c r="C48" s="11" t="n"/>
      <c r="D48" s="23" t="inlineStr">
        <is>
          <t>Graphic Novel</t>
        </is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5.75" customHeight="1">
      <c r="A49" s="10" t="n"/>
      <c r="B49" s="10" t="n"/>
      <c r="C49" s="11" t="n"/>
      <c r="D49" s="23" t="inlineStr">
        <is>
          <t>Business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5.75" customHeight="1">
      <c r="A50" s="10" t="n"/>
      <c r="B50" s="10" t="n"/>
      <c r="C50" s="11" t="n"/>
      <c r="D50" s="23" t="inlineStr">
        <is>
          <t>Science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5.75" customHeight="1">
      <c r="A51" s="10" t="n"/>
      <c r="B51" s="10" t="n"/>
      <c r="C51" s="11" t="n"/>
      <c r="D51" s="23" t="inlineStr">
        <is>
          <t>Philosophy</t>
        </is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5.75" customHeight="1">
      <c r="A52" s="10" t="n"/>
      <c r="B52" s="10" t="n"/>
      <c r="C52" s="11" t="n"/>
      <c r="D52" s="23" t="inlineStr">
        <is>
          <t>Other</t>
        </is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15.75" customHeight="1">
      <c r="A53" s="10" t="n"/>
      <c r="B53" s="10" t="n"/>
      <c r="C53" s="1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15.75" customHeight="1">
      <c r="A54" s="10" t="n"/>
      <c r="B54" s="10" t="n"/>
      <c r="C54" s="1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/>
    <row r="57" ht="15.75" customHeight="1"/>
    <row r="58" ht="15.75" customHeight="1"/>
    <row r="59" ht="15.75" customHeight="1"/>
  </sheetData>
  <mergeCells count="1">
    <mergeCell ref="D3:J3"/>
  </mergeCells>
  <hyperlinks>
    <hyperlink ref="B5" location="'Instructions'!D1" display="Instructions"/>
    <hyperlink ref="B9" location="'Book Tracker'!D1" display="Book Tracker"/>
    <hyperlink ref="B10" location="'Books Gallery'!D1" display="Books Gallery"/>
    <hyperlink ref="B13" location="'Reading Calendar'!D1" display="Reading Calendar"/>
    <hyperlink ref="B14" location="'Wishlist'!D1" display="Wishlist"/>
    <hyperlink ref="B17" location="'Dashboard'!D1" display="Dashboard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1B29A"/>
    <outlinePr summaryBelow="1" summaryRight="1"/>
    <pageSetUpPr/>
  </sheetPr>
  <dimension ref="A1:T2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5" customWidth="1" min="4" max="4"/>
    <col width="28" customWidth="1" min="5" max="5"/>
    <col width="22" customWidth="1" min="6" max="6"/>
    <col width="18" customWidth="1" min="7" max="7"/>
    <col width="14" customWidth="1" min="8" max="8"/>
    <col width="10" customWidth="1" min="9" max="9"/>
    <col width="14" customWidth="1" min="10" max="10"/>
    <col width="10" customWidth="1" min="11" max="11"/>
    <col width="16" customWidth="1" min="12" max="12"/>
    <col width="16" customWidth="1" min="13" max="13"/>
    <col width="14" customWidth="1" min="14" max="14"/>
    <col width="30" customWidth="1" min="15" max="15"/>
  </cols>
  <sheetData>
    <row r="1" ht="15.75" customHeight="1">
      <c r="A1" s="10" t="n"/>
      <c r="B1" s="10" t="n"/>
      <c r="C1" s="1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5.75" customHeight="1">
      <c r="A2" s="10" t="n"/>
      <c r="B2" s="12" t="inlineStr">
        <is>
          <t>📚 BOOK TRACKER</t>
        </is>
      </c>
      <c r="C2" s="1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5.75" customHeight="1">
      <c r="A3" s="10" t="n"/>
      <c r="B3" s="10" t="n"/>
      <c r="C3" s="1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5.75" customHeight="1">
      <c r="A4" s="10" t="n"/>
      <c r="B4" s="14" t="inlineStr">
        <is>
          <t>SETUP</t>
        </is>
      </c>
      <c r="C4" s="1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28" customHeight="1">
      <c r="A5" s="10" t="n"/>
      <c r="B5" s="15" t="inlineStr">
        <is>
          <t>Instructions</t>
        </is>
      </c>
      <c r="C5" s="11" t="n"/>
      <c r="D5" s="13" t="inlineStr">
        <is>
          <t>📖  MY READING LOG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15.75" customHeight="1">
      <c r="A6" s="10" t="n"/>
      <c r="B6" s="15" t="inlineStr">
        <is>
          <t>Setup</t>
        </is>
      </c>
      <c r="C6" s="11" t="n"/>
      <c r="D6" s="24" t="inlineStr">
        <is>
          <t>Total Books:</t>
        </is>
      </c>
      <c r="E6" s="25">
        <f>COUNTA(E8:E207)</f>
        <v/>
      </c>
      <c r="F6" s="24" t="inlineStr">
        <is>
          <t>Finished:</t>
        </is>
      </c>
      <c r="G6" s="25">
        <f>COUNTIF(H8:H207,"Finished")</f>
        <v/>
      </c>
      <c r="H6" s="24" t="inlineStr">
        <is>
          <t>Avg Rating:</t>
        </is>
      </c>
      <c r="I6" s="25">
        <f>IFERROR(AVERAGEIF(H8:H207,"Finished",I8:I207),"—")</f>
        <v/>
      </c>
      <c r="J6" s="24" t="inlineStr">
        <is>
          <t>Pages Read:</t>
        </is>
      </c>
      <c r="K6" s="25">
        <f>SUMIF(H8:H207,"Finished",K8:K207)</f>
        <v/>
      </c>
      <c r="L6" s="26" t="n"/>
      <c r="M6" s="26" t="n"/>
      <c r="N6" s="26" t="n"/>
      <c r="O6" s="26" t="n"/>
      <c r="P6" s="1" t="n"/>
      <c r="Q6" s="1" t="n"/>
      <c r="R6" s="1" t="n"/>
      <c r="S6" s="1" t="n"/>
      <c r="T6" s="1" t="n"/>
    </row>
    <row r="7" ht="28" customHeight="1">
      <c r="A7" s="10" t="n"/>
      <c r="B7" s="10" t="n"/>
      <c r="C7" s="11" t="n"/>
      <c r="D7" s="27" t="inlineStr">
        <is>
          <t>#</t>
        </is>
      </c>
      <c r="E7" s="27" t="inlineStr">
        <is>
          <t>TITLE</t>
        </is>
      </c>
      <c r="F7" s="27" t="inlineStr">
        <is>
          <t>AUTHOR</t>
        </is>
      </c>
      <c r="G7" s="27" t="inlineStr">
        <is>
          <t>GENRE</t>
        </is>
      </c>
      <c r="H7" s="27" t="inlineStr">
        <is>
          <t>STATUS</t>
        </is>
      </c>
      <c r="I7" s="27" t="inlineStr">
        <is>
          <t>RATING</t>
        </is>
      </c>
      <c r="J7" s="27" t="inlineStr">
        <is>
          <t>FORMAT</t>
        </is>
      </c>
      <c r="K7" s="27" t="inlineStr">
        <is>
          <t>PAGES</t>
        </is>
      </c>
      <c r="L7" s="27" t="inlineStr">
        <is>
          <t>DATE STARTED</t>
        </is>
      </c>
      <c r="M7" s="27" t="inlineStr">
        <is>
          <t>DATE FINISHED</t>
        </is>
      </c>
      <c r="N7" s="27" t="inlineStr">
        <is>
          <t>DAYS TO READ</t>
        </is>
      </c>
      <c r="O7" s="27" t="inlineStr">
        <is>
          <t>NOTES</t>
        </is>
      </c>
      <c r="P7" s="1" t="n"/>
      <c r="Q7" s="1" t="n"/>
      <c r="R7" s="1" t="n"/>
      <c r="S7" s="1" t="n"/>
      <c r="T7" s="1" t="n"/>
    </row>
    <row r="8" ht="15.75" customHeight="1">
      <c r="A8" s="10" t="n"/>
      <c r="B8" s="14" t="inlineStr">
        <is>
          <t>LIBRARY</t>
        </is>
      </c>
      <c r="C8" s="11" t="n"/>
      <c r="D8" s="28" t="n">
        <v>1</v>
      </c>
      <c r="E8" s="29" t="inlineStr">
        <is>
          <t>The Great Gatsby</t>
        </is>
      </c>
      <c r="F8" s="28" t="inlineStr">
        <is>
          <t>F. Scott Fitzgerald</t>
        </is>
      </c>
      <c r="G8" s="28" t="inlineStr">
        <is>
          <t>Literary Fiction</t>
        </is>
      </c>
      <c r="H8" s="28" t="inlineStr">
        <is>
          <t>Finished</t>
        </is>
      </c>
      <c r="I8" s="28" t="n">
        <v>5</v>
      </c>
      <c r="J8" s="28" t="inlineStr">
        <is>
          <t>Physical</t>
        </is>
      </c>
      <c r="K8" s="30" t="n">
        <v>180</v>
      </c>
      <c r="L8" s="31" t="n">
        <v>46023</v>
      </c>
      <c r="M8" s="31" t="n">
        <v>46027</v>
      </c>
      <c r="N8" s="28">
        <f>IF(AND(L8&lt;&gt;"",M8&lt;&gt;""),M8-L8,"")</f>
        <v/>
      </c>
      <c r="O8" s="29" t="n"/>
      <c r="P8" s="1" t="n"/>
      <c r="Q8" s="1" t="n"/>
      <c r="R8" s="1" t="n"/>
      <c r="S8" s="1" t="n"/>
      <c r="T8" s="1" t="n"/>
    </row>
    <row r="9" ht="15.75" customHeight="1">
      <c r="A9" s="16" t="n"/>
      <c r="B9" s="17" t="inlineStr">
        <is>
          <t>Book Tracker</t>
        </is>
      </c>
      <c r="C9" s="18" t="n"/>
      <c r="D9" s="32" t="n">
        <v>2</v>
      </c>
      <c r="E9" s="33" t="inlineStr">
        <is>
          <t>Dune</t>
        </is>
      </c>
      <c r="F9" s="32" t="inlineStr">
        <is>
          <t>Frank Herbert</t>
        </is>
      </c>
      <c r="G9" s="32" t="inlineStr">
        <is>
          <t>Sci-Fi</t>
        </is>
      </c>
      <c r="H9" s="32" t="inlineStr">
        <is>
          <t>Finished</t>
        </is>
      </c>
      <c r="I9" s="32" t="n">
        <v>4</v>
      </c>
      <c r="J9" s="32" t="inlineStr">
        <is>
          <t>eBook</t>
        </is>
      </c>
      <c r="K9" s="34" t="n">
        <v>412</v>
      </c>
      <c r="L9" s="35" t="n">
        <v>46030</v>
      </c>
      <c r="M9" s="35" t="n">
        <v>46044</v>
      </c>
      <c r="N9" s="32">
        <f>IF(AND(L9&lt;&gt;"",M9&lt;&gt;""),M9-L9,"")</f>
        <v/>
      </c>
      <c r="O9" s="33" t="n"/>
      <c r="P9" s="1" t="n"/>
      <c r="Q9" s="1" t="n"/>
      <c r="R9" s="1" t="n"/>
      <c r="S9" s="1" t="n"/>
      <c r="T9" s="1" t="n"/>
    </row>
    <row r="10" ht="15.75" customHeight="1">
      <c r="A10" s="10" t="n"/>
      <c r="B10" s="15" t="inlineStr">
        <is>
          <t>Books Gallery</t>
        </is>
      </c>
      <c r="C10" s="11" t="n"/>
      <c r="D10" s="28" t="n">
        <v>3</v>
      </c>
      <c r="E10" s="29" t="inlineStr">
        <is>
          <t>Atomic Habits</t>
        </is>
      </c>
      <c r="F10" s="28" t="inlineStr">
        <is>
          <t>James Clear</t>
        </is>
      </c>
      <c r="G10" s="28" t="inlineStr">
        <is>
          <t>Self-Help</t>
        </is>
      </c>
      <c r="H10" s="28" t="inlineStr">
        <is>
          <t>Finished</t>
        </is>
      </c>
      <c r="I10" s="28" t="n">
        <v>5</v>
      </c>
      <c r="J10" s="28" t="inlineStr">
        <is>
          <t>Audiobook</t>
        </is>
      </c>
      <c r="K10" s="30" t="n">
        <v>320</v>
      </c>
      <c r="L10" s="31" t="n">
        <v>46047</v>
      </c>
      <c r="M10" s="31" t="n">
        <v>46055</v>
      </c>
      <c r="N10" s="28">
        <f>IF(AND(L10&lt;&gt;"",M10&lt;&gt;""),M10-L10,"")</f>
        <v/>
      </c>
      <c r="O10" s="29" t="n"/>
      <c r="P10" s="1" t="n"/>
      <c r="Q10" s="1" t="n"/>
      <c r="R10" s="1" t="n"/>
      <c r="S10" s="1" t="n"/>
      <c r="T10" s="1" t="n"/>
    </row>
    <row r="11" ht="15.75" customHeight="1">
      <c r="A11" s="10" t="n"/>
      <c r="B11" s="10" t="n"/>
      <c r="C11" s="11" t="n"/>
      <c r="D11" s="32" t="n">
        <v>4</v>
      </c>
      <c r="E11" s="33" t="inlineStr">
        <is>
          <t>The Hobbit</t>
        </is>
      </c>
      <c r="F11" s="32" t="inlineStr">
        <is>
          <t>J.R.R. Tolkien</t>
        </is>
      </c>
      <c r="G11" s="32" t="inlineStr">
        <is>
          <t>Fantasy</t>
        </is>
      </c>
      <c r="H11" s="32" t="inlineStr">
        <is>
          <t>Reading</t>
        </is>
      </c>
      <c r="I11" s="32" t="n"/>
      <c r="J11" s="32" t="inlineStr">
        <is>
          <t>Physical</t>
        </is>
      </c>
      <c r="K11" s="34" t="n">
        <v>310</v>
      </c>
      <c r="L11" s="35" t="n">
        <v>46058</v>
      </c>
      <c r="M11" s="35" t="n"/>
      <c r="N11" s="32">
        <f>IF(AND(L11&lt;&gt;"",M11&lt;&gt;""),M11-L11,"")</f>
        <v/>
      </c>
      <c r="O11" s="33" t="n"/>
      <c r="P11" s="1" t="n"/>
      <c r="Q11" s="1" t="n"/>
      <c r="R11" s="1" t="n"/>
      <c r="S11" s="1" t="n"/>
      <c r="T11" s="1" t="n"/>
    </row>
    <row r="12" ht="15.75" customHeight="1">
      <c r="A12" s="10" t="n"/>
      <c r="B12" s="14" t="inlineStr">
        <is>
          <t>PLANNING</t>
        </is>
      </c>
      <c r="C12" s="11" t="n"/>
      <c r="D12" s="28" t="n">
        <v>5</v>
      </c>
      <c r="E12" s="29" t="inlineStr">
        <is>
          <t>Becoming</t>
        </is>
      </c>
      <c r="F12" s="28" t="inlineStr">
        <is>
          <t>Michelle Obama</t>
        </is>
      </c>
      <c r="G12" s="28" t="inlineStr">
        <is>
          <t>Biography</t>
        </is>
      </c>
      <c r="H12" s="28" t="inlineStr">
        <is>
          <t>TBR</t>
        </is>
      </c>
      <c r="I12" s="28" t="n"/>
      <c r="J12" s="28" t="n"/>
      <c r="K12" s="30" t="n">
        <v>448</v>
      </c>
      <c r="L12" s="31" t="n"/>
      <c r="M12" s="31" t="n"/>
      <c r="N12" s="28">
        <f>IF(AND(L12&lt;&gt;"",M12&lt;&gt;""),M12-L12,"")</f>
        <v/>
      </c>
      <c r="O12" s="29" t="n"/>
      <c r="P12" s="1" t="n"/>
      <c r="Q12" s="1" t="n"/>
      <c r="R12" s="1" t="n"/>
      <c r="S12" s="1" t="n"/>
      <c r="T12" s="1" t="n"/>
    </row>
    <row r="13" ht="15.75" customHeight="1">
      <c r="A13" s="10" t="n"/>
      <c r="B13" s="15" t="inlineStr">
        <is>
          <t>Reading Calendar</t>
        </is>
      </c>
      <c r="C13" s="11" t="n"/>
      <c r="D13" s="32" t="n">
        <v>6</v>
      </c>
      <c r="E13" s="33" t="n"/>
      <c r="F13" s="32" t="n"/>
      <c r="G13" s="32" t="n"/>
      <c r="H13" s="32" t="n"/>
      <c r="I13" s="32" t="n"/>
      <c r="J13" s="32" t="n"/>
      <c r="K13" s="34" t="n"/>
      <c r="L13" s="35" t="n"/>
      <c r="M13" s="35" t="n"/>
      <c r="N13" s="32">
        <f>IF(AND(L13&lt;&gt;"",M13&lt;&gt;""),M13-L13,"")</f>
        <v/>
      </c>
      <c r="O13" s="33" t="n"/>
      <c r="P13" s="1" t="n"/>
      <c r="Q13" s="1" t="n"/>
      <c r="R13" s="1" t="n"/>
      <c r="S13" s="1" t="n"/>
      <c r="T13" s="1" t="n"/>
    </row>
    <row r="14" ht="15.75" customHeight="1">
      <c r="A14" s="10" t="n"/>
      <c r="B14" s="15" t="inlineStr">
        <is>
          <t>Wishlist</t>
        </is>
      </c>
      <c r="C14" s="11" t="n"/>
      <c r="D14" s="28" t="n">
        <v>7</v>
      </c>
      <c r="E14" s="29" t="n"/>
      <c r="F14" s="28" t="n"/>
      <c r="G14" s="28" t="n"/>
      <c r="H14" s="28" t="n"/>
      <c r="I14" s="28" t="n"/>
      <c r="J14" s="28" t="n"/>
      <c r="K14" s="30" t="n"/>
      <c r="L14" s="31" t="n"/>
      <c r="M14" s="31" t="n"/>
      <c r="N14" s="28">
        <f>IF(AND(L14&lt;&gt;"",M14&lt;&gt;""),M14-L14,"")</f>
        <v/>
      </c>
      <c r="O14" s="29" t="n"/>
      <c r="P14" s="1" t="n"/>
      <c r="Q14" s="1" t="n"/>
      <c r="R14" s="1" t="n"/>
      <c r="S14" s="1" t="n"/>
      <c r="T14" s="1" t="n"/>
    </row>
    <row r="15" ht="15.75" customHeight="1">
      <c r="A15" s="10" t="n"/>
      <c r="B15" s="10" t="n"/>
      <c r="C15" s="11" t="n"/>
      <c r="D15" s="32" t="n">
        <v>8</v>
      </c>
      <c r="E15" s="33" t="n"/>
      <c r="F15" s="32" t="n"/>
      <c r="G15" s="32" t="n"/>
      <c r="H15" s="32" t="n"/>
      <c r="I15" s="32" t="n"/>
      <c r="J15" s="32" t="n"/>
      <c r="K15" s="34" t="n"/>
      <c r="L15" s="35" t="n"/>
      <c r="M15" s="35" t="n"/>
      <c r="N15" s="32">
        <f>IF(AND(L15&lt;&gt;"",M15&lt;&gt;""),M15-L15,"")</f>
        <v/>
      </c>
      <c r="O15" s="33" t="n"/>
      <c r="P15" s="1" t="n"/>
      <c r="Q15" s="1" t="n"/>
      <c r="R15" s="1" t="n"/>
      <c r="S15" s="1" t="n"/>
      <c r="T15" s="1" t="n"/>
    </row>
    <row r="16" ht="15.75" customHeight="1">
      <c r="A16" s="10" t="n"/>
      <c r="B16" s="14" t="inlineStr">
        <is>
          <t>OVERVIEW</t>
        </is>
      </c>
      <c r="C16" s="11" t="n"/>
      <c r="D16" s="28" t="n">
        <v>9</v>
      </c>
      <c r="E16" s="29" t="n"/>
      <c r="F16" s="28" t="n"/>
      <c r="G16" s="28" t="n"/>
      <c r="H16" s="28" t="n"/>
      <c r="I16" s="28" t="n"/>
      <c r="J16" s="28" t="n"/>
      <c r="K16" s="30" t="n"/>
      <c r="L16" s="31" t="n"/>
      <c r="M16" s="31" t="n"/>
      <c r="N16" s="28">
        <f>IF(AND(L16&lt;&gt;"",M16&lt;&gt;""),M16-L16,"")</f>
        <v/>
      </c>
      <c r="O16" s="29" t="n"/>
      <c r="P16" s="1" t="n"/>
      <c r="Q16" s="1" t="n"/>
      <c r="R16" s="1" t="n"/>
      <c r="S16" s="1" t="n"/>
      <c r="T16" s="1" t="n"/>
    </row>
    <row r="17" ht="15.75" customHeight="1">
      <c r="A17" s="10" t="n"/>
      <c r="B17" s="15" t="inlineStr">
        <is>
          <t>Dashboard</t>
        </is>
      </c>
      <c r="C17" s="11" t="n"/>
      <c r="D17" s="32" t="n">
        <v>10</v>
      </c>
      <c r="E17" s="33" t="n"/>
      <c r="F17" s="32" t="n"/>
      <c r="G17" s="32" t="n"/>
      <c r="H17" s="32" t="n"/>
      <c r="I17" s="32" t="n"/>
      <c r="J17" s="32" t="n"/>
      <c r="K17" s="34" t="n"/>
      <c r="L17" s="35" t="n"/>
      <c r="M17" s="35" t="n"/>
      <c r="N17" s="32">
        <f>IF(AND(L17&lt;&gt;"",M17&lt;&gt;""),M17-L17,"")</f>
        <v/>
      </c>
      <c r="O17" s="33" t="n"/>
      <c r="P17" s="1" t="n"/>
      <c r="Q17" s="1" t="n"/>
      <c r="R17" s="1" t="n"/>
      <c r="S17" s="1" t="n"/>
      <c r="T17" s="1" t="n"/>
    </row>
    <row r="18" ht="15.75" customHeight="1">
      <c r="A18" s="10" t="n"/>
      <c r="B18" s="10" t="n"/>
      <c r="C18" s="11" t="n"/>
      <c r="D18" s="28" t="n">
        <v>11</v>
      </c>
      <c r="E18" s="29" t="n"/>
      <c r="F18" s="28" t="n"/>
      <c r="G18" s="28" t="n"/>
      <c r="H18" s="28" t="n"/>
      <c r="I18" s="28" t="n"/>
      <c r="J18" s="28" t="n"/>
      <c r="K18" s="30" t="n"/>
      <c r="L18" s="31" t="n"/>
      <c r="M18" s="31" t="n"/>
      <c r="N18" s="28">
        <f>IF(AND(L18&lt;&gt;"",M18&lt;&gt;""),M18-L18,"")</f>
        <v/>
      </c>
      <c r="O18" s="29" t="n"/>
      <c r="P18" s="1" t="n"/>
      <c r="Q18" s="1" t="n"/>
      <c r="R18" s="1" t="n"/>
      <c r="S18" s="1" t="n"/>
      <c r="T18" s="1" t="n"/>
    </row>
    <row r="19" ht="15.75" customHeight="1">
      <c r="A19" s="10" t="n"/>
      <c r="B19" s="10" t="n"/>
      <c r="C19" s="11" t="n"/>
      <c r="D19" s="32" t="n">
        <v>12</v>
      </c>
      <c r="E19" s="33" t="n"/>
      <c r="F19" s="32" t="n"/>
      <c r="G19" s="32" t="n"/>
      <c r="H19" s="32" t="n"/>
      <c r="I19" s="32" t="n"/>
      <c r="J19" s="32" t="n"/>
      <c r="K19" s="34" t="n"/>
      <c r="L19" s="35" t="n"/>
      <c r="M19" s="35" t="n"/>
      <c r="N19" s="32">
        <f>IF(AND(L19&lt;&gt;"",M19&lt;&gt;""),M19-L19,"")</f>
        <v/>
      </c>
      <c r="O19" s="33" t="n"/>
      <c r="P19" s="1" t="n"/>
      <c r="Q19" s="1" t="n"/>
      <c r="R19" s="1" t="n"/>
      <c r="S19" s="1" t="n"/>
      <c r="T19" s="1" t="n"/>
    </row>
    <row r="20" ht="15.75" customHeight="1">
      <c r="A20" s="10" t="n"/>
      <c r="B20" s="10" t="n"/>
      <c r="C20" s="11" t="n"/>
      <c r="D20" s="28" t="n">
        <v>13</v>
      </c>
      <c r="E20" s="29" t="n"/>
      <c r="F20" s="28" t="n"/>
      <c r="G20" s="28" t="n"/>
      <c r="H20" s="28" t="n"/>
      <c r="I20" s="28" t="n"/>
      <c r="J20" s="28" t="n"/>
      <c r="K20" s="30" t="n"/>
      <c r="L20" s="31" t="n"/>
      <c r="M20" s="31" t="n"/>
      <c r="N20" s="28">
        <f>IF(AND(L20&lt;&gt;"",M20&lt;&gt;""),M20-L20,"")</f>
        <v/>
      </c>
      <c r="O20" s="29" t="n"/>
      <c r="P20" s="1" t="n"/>
      <c r="Q20" s="1" t="n"/>
      <c r="R20" s="1" t="n"/>
      <c r="S20" s="1" t="n"/>
      <c r="T20" s="1" t="n"/>
    </row>
    <row r="21" ht="15.75" customHeight="1">
      <c r="A21" s="10" t="n"/>
      <c r="B21" s="10" t="n"/>
      <c r="C21" s="11" t="n"/>
      <c r="D21" s="32" t="n">
        <v>14</v>
      </c>
      <c r="E21" s="33" t="n"/>
      <c r="F21" s="32" t="n"/>
      <c r="G21" s="32" t="n"/>
      <c r="H21" s="32" t="n"/>
      <c r="I21" s="32" t="n"/>
      <c r="J21" s="32" t="n"/>
      <c r="K21" s="34" t="n"/>
      <c r="L21" s="35" t="n"/>
      <c r="M21" s="35" t="n"/>
      <c r="N21" s="32">
        <f>IF(AND(L21&lt;&gt;"",M21&lt;&gt;""),M21-L21,"")</f>
        <v/>
      </c>
      <c r="O21" s="33" t="n"/>
      <c r="P21" s="1" t="n"/>
      <c r="Q21" s="1" t="n"/>
      <c r="R21" s="1" t="n"/>
      <c r="S21" s="1" t="n"/>
      <c r="T21" s="1" t="n"/>
    </row>
    <row r="22" ht="15.75" customHeight="1">
      <c r="A22" s="10" t="n"/>
      <c r="B22" s="10" t="n"/>
      <c r="C22" s="11" t="n"/>
      <c r="D22" s="28" t="n">
        <v>15</v>
      </c>
      <c r="E22" s="29" t="n"/>
      <c r="F22" s="28" t="n"/>
      <c r="G22" s="28" t="n"/>
      <c r="H22" s="28" t="n"/>
      <c r="I22" s="28" t="n"/>
      <c r="J22" s="28" t="n"/>
      <c r="K22" s="30" t="n"/>
      <c r="L22" s="31" t="n"/>
      <c r="M22" s="31" t="n"/>
      <c r="N22" s="28">
        <f>IF(AND(L22&lt;&gt;"",M22&lt;&gt;""),M22-L22,"")</f>
        <v/>
      </c>
      <c r="O22" s="29" t="n"/>
      <c r="P22" s="1" t="n"/>
      <c r="Q22" s="1" t="n"/>
      <c r="R22" s="1" t="n"/>
      <c r="S22" s="1" t="n"/>
      <c r="T22" s="1" t="n"/>
    </row>
    <row r="23" ht="15.75" customHeight="1">
      <c r="A23" s="10" t="n"/>
      <c r="B23" s="10" t="n"/>
      <c r="C23" s="11" t="n"/>
      <c r="D23" s="32" t="n">
        <v>16</v>
      </c>
      <c r="E23" s="33" t="n"/>
      <c r="F23" s="32" t="n"/>
      <c r="G23" s="32" t="n"/>
      <c r="H23" s="32" t="n"/>
      <c r="I23" s="32" t="n"/>
      <c r="J23" s="32" t="n"/>
      <c r="K23" s="34" t="n"/>
      <c r="L23" s="35" t="n"/>
      <c r="M23" s="35" t="n"/>
      <c r="N23" s="32">
        <f>IF(AND(L23&lt;&gt;"",M23&lt;&gt;""),M23-L23,"")</f>
        <v/>
      </c>
      <c r="O23" s="33" t="n"/>
      <c r="P23" s="1" t="n"/>
      <c r="Q23" s="1" t="n"/>
      <c r="R23" s="1" t="n"/>
      <c r="S23" s="1" t="n"/>
      <c r="T23" s="1" t="n"/>
    </row>
    <row r="24" ht="15.75" customHeight="1">
      <c r="A24" s="10" t="n"/>
      <c r="B24" s="10" t="n"/>
      <c r="C24" s="11" t="n"/>
      <c r="D24" s="28" t="n">
        <v>17</v>
      </c>
      <c r="E24" s="29" t="n"/>
      <c r="F24" s="28" t="n"/>
      <c r="G24" s="28" t="n"/>
      <c r="H24" s="28" t="n"/>
      <c r="I24" s="28" t="n"/>
      <c r="J24" s="28" t="n"/>
      <c r="K24" s="30" t="n"/>
      <c r="L24" s="31" t="n"/>
      <c r="M24" s="31" t="n"/>
      <c r="N24" s="28">
        <f>IF(AND(L24&lt;&gt;"",M24&lt;&gt;""),M24-L24,"")</f>
        <v/>
      </c>
      <c r="O24" s="29" t="n"/>
      <c r="P24" s="1" t="n"/>
      <c r="Q24" s="1" t="n"/>
      <c r="R24" s="1" t="n"/>
      <c r="S24" s="1" t="n"/>
      <c r="T24" s="1" t="n"/>
    </row>
    <row r="25" ht="15.75" customHeight="1">
      <c r="A25" s="10" t="n"/>
      <c r="B25" s="10" t="n"/>
      <c r="C25" s="11" t="n"/>
      <c r="D25" s="32" t="n">
        <v>18</v>
      </c>
      <c r="E25" s="33" t="n"/>
      <c r="F25" s="32" t="n"/>
      <c r="G25" s="32" t="n"/>
      <c r="H25" s="32" t="n"/>
      <c r="I25" s="32" t="n"/>
      <c r="J25" s="32" t="n"/>
      <c r="K25" s="34" t="n"/>
      <c r="L25" s="35" t="n"/>
      <c r="M25" s="35" t="n"/>
      <c r="N25" s="32">
        <f>IF(AND(L25&lt;&gt;"",M25&lt;&gt;""),M25-L25,"")</f>
        <v/>
      </c>
      <c r="O25" s="33" t="n"/>
      <c r="P25" s="1" t="n"/>
      <c r="Q25" s="1" t="n"/>
      <c r="R25" s="1" t="n"/>
      <c r="S25" s="1" t="n"/>
      <c r="T25" s="1" t="n"/>
    </row>
    <row r="26" ht="15.75" customHeight="1">
      <c r="A26" s="10" t="n"/>
      <c r="B26" s="10" t="n"/>
      <c r="C26" s="11" t="n"/>
      <c r="D26" s="28" t="n">
        <v>19</v>
      </c>
      <c r="E26" s="29" t="n"/>
      <c r="F26" s="28" t="n"/>
      <c r="G26" s="28" t="n"/>
      <c r="H26" s="28" t="n"/>
      <c r="I26" s="28" t="n"/>
      <c r="J26" s="28" t="n"/>
      <c r="K26" s="30" t="n"/>
      <c r="L26" s="31" t="n"/>
      <c r="M26" s="31" t="n"/>
      <c r="N26" s="28">
        <f>IF(AND(L26&lt;&gt;"",M26&lt;&gt;""),M26-L26,"")</f>
        <v/>
      </c>
      <c r="O26" s="29" t="n"/>
      <c r="P26" s="1" t="n"/>
      <c r="Q26" s="1" t="n"/>
      <c r="R26" s="1" t="n"/>
      <c r="S26" s="1" t="n"/>
      <c r="T26" s="1" t="n"/>
    </row>
    <row r="27" ht="15.75" customHeight="1">
      <c r="A27" s="10" t="n"/>
      <c r="B27" s="10" t="n"/>
      <c r="C27" s="11" t="n"/>
      <c r="D27" s="32" t="n">
        <v>20</v>
      </c>
      <c r="E27" s="33" t="n"/>
      <c r="F27" s="32" t="n"/>
      <c r="G27" s="32" t="n"/>
      <c r="H27" s="32" t="n"/>
      <c r="I27" s="32" t="n"/>
      <c r="J27" s="32" t="n"/>
      <c r="K27" s="34" t="n"/>
      <c r="L27" s="35" t="n"/>
      <c r="M27" s="35" t="n"/>
      <c r="N27" s="32">
        <f>IF(AND(L27&lt;&gt;"",M27&lt;&gt;""),M27-L27,"")</f>
        <v/>
      </c>
      <c r="O27" s="33" t="n"/>
      <c r="P27" s="1" t="n"/>
      <c r="Q27" s="1" t="n"/>
      <c r="R27" s="1" t="n"/>
      <c r="S27" s="1" t="n"/>
      <c r="T27" s="1" t="n"/>
    </row>
    <row r="28" ht="15.75" customHeight="1">
      <c r="A28" s="10" t="n"/>
      <c r="B28" s="10" t="n"/>
      <c r="C28" s="11" t="n"/>
      <c r="D28" s="28" t="n">
        <v>21</v>
      </c>
      <c r="E28" s="29" t="n"/>
      <c r="F28" s="28" t="n"/>
      <c r="G28" s="28" t="n"/>
      <c r="H28" s="28" t="n"/>
      <c r="I28" s="28" t="n"/>
      <c r="J28" s="28" t="n"/>
      <c r="K28" s="30" t="n"/>
      <c r="L28" s="31" t="n"/>
      <c r="M28" s="31" t="n"/>
      <c r="N28" s="28">
        <f>IF(AND(L28&lt;&gt;"",M28&lt;&gt;""),M28-L28,"")</f>
        <v/>
      </c>
      <c r="O28" s="29" t="n"/>
      <c r="P28" s="1" t="n"/>
      <c r="Q28" s="1" t="n"/>
      <c r="R28" s="1" t="n"/>
      <c r="S28" s="1" t="n"/>
      <c r="T28" s="1" t="n"/>
    </row>
    <row r="29" ht="15.75" customHeight="1">
      <c r="A29" s="10" t="n"/>
      <c r="B29" s="10" t="n"/>
      <c r="C29" s="11" t="n"/>
      <c r="D29" s="32" t="n">
        <v>22</v>
      </c>
      <c r="E29" s="33" t="n"/>
      <c r="F29" s="32" t="n"/>
      <c r="G29" s="32" t="n"/>
      <c r="H29" s="32" t="n"/>
      <c r="I29" s="32" t="n"/>
      <c r="J29" s="32" t="n"/>
      <c r="K29" s="34" t="n"/>
      <c r="L29" s="35" t="n"/>
      <c r="M29" s="35" t="n"/>
      <c r="N29" s="32">
        <f>IF(AND(L29&lt;&gt;"",M29&lt;&gt;""),M29-L29,"")</f>
        <v/>
      </c>
      <c r="O29" s="33" t="n"/>
      <c r="P29" s="1" t="n"/>
      <c r="Q29" s="1" t="n"/>
      <c r="R29" s="1" t="n"/>
      <c r="S29" s="1" t="n"/>
      <c r="T29" s="1" t="n"/>
    </row>
    <row r="30" ht="15.75" customHeight="1">
      <c r="A30" s="10" t="n"/>
      <c r="B30" s="10" t="n"/>
      <c r="C30" s="11" t="n"/>
      <c r="D30" s="28" t="n">
        <v>23</v>
      </c>
      <c r="E30" s="29" t="n"/>
      <c r="F30" s="28" t="n"/>
      <c r="G30" s="28" t="n"/>
      <c r="H30" s="28" t="n"/>
      <c r="I30" s="28" t="n"/>
      <c r="J30" s="28" t="n"/>
      <c r="K30" s="30" t="n"/>
      <c r="L30" s="31" t="n"/>
      <c r="M30" s="31" t="n"/>
      <c r="N30" s="28">
        <f>IF(AND(L30&lt;&gt;"",M30&lt;&gt;""),M30-L30,"")</f>
        <v/>
      </c>
      <c r="O30" s="29" t="n"/>
      <c r="P30" s="1" t="n"/>
      <c r="Q30" s="1" t="n"/>
      <c r="R30" s="1" t="n"/>
      <c r="S30" s="1" t="n"/>
      <c r="T30" s="1" t="n"/>
    </row>
    <row r="31" ht="15.75" customHeight="1">
      <c r="A31" s="10" t="n"/>
      <c r="B31" s="10" t="n"/>
      <c r="C31" s="11" t="n"/>
      <c r="D31" s="32" t="n">
        <v>24</v>
      </c>
      <c r="E31" s="33" t="n"/>
      <c r="F31" s="32" t="n"/>
      <c r="G31" s="32" t="n"/>
      <c r="H31" s="32" t="n"/>
      <c r="I31" s="32" t="n"/>
      <c r="J31" s="32" t="n"/>
      <c r="K31" s="34" t="n"/>
      <c r="L31" s="35" t="n"/>
      <c r="M31" s="35" t="n"/>
      <c r="N31" s="32">
        <f>IF(AND(L31&lt;&gt;"",M31&lt;&gt;""),M31-L31,"")</f>
        <v/>
      </c>
      <c r="O31" s="33" t="n"/>
      <c r="P31" s="1" t="n"/>
      <c r="Q31" s="1" t="n"/>
      <c r="R31" s="1" t="n"/>
      <c r="S31" s="1" t="n"/>
      <c r="T31" s="1" t="n"/>
    </row>
    <row r="32" ht="15.75" customHeight="1">
      <c r="A32" s="10" t="n"/>
      <c r="B32" s="10" t="n"/>
      <c r="C32" s="11" t="n"/>
      <c r="D32" s="28" t="n">
        <v>25</v>
      </c>
      <c r="E32" s="29" t="n"/>
      <c r="F32" s="28" t="n"/>
      <c r="G32" s="28" t="n"/>
      <c r="H32" s="28" t="n"/>
      <c r="I32" s="28" t="n"/>
      <c r="J32" s="28" t="n"/>
      <c r="K32" s="30" t="n"/>
      <c r="L32" s="31" t="n"/>
      <c r="M32" s="31" t="n"/>
      <c r="N32" s="28">
        <f>IF(AND(L32&lt;&gt;"",M32&lt;&gt;""),M32-L32,"")</f>
        <v/>
      </c>
      <c r="O32" s="29" t="n"/>
      <c r="P32" s="1" t="n"/>
      <c r="Q32" s="1" t="n"/>
      <c r="R32" s="1" t="n"/>
      <c r="S32" s="1" t="n"/>
      <c r="T32" s="1" t="n"/>
    </row>
    <row r="33" ht="15.75" customHeight="1">
      <c r="A33" s="10" t="n"/>
      <c r="B33" s="10" t="n"/>
      <c r="C33" s="11" t="n"/>
      <c r="D33" s="32" t="n">
        <v>26</v>
      </c>
      <c r="E33" s="33" t="n"/>
      <c r="F33" s="32" t="n"/>
      <c r="G33" s="32" t="n"/>
      <c r="H33" s="32" t="n"/>
      <c r="I33" s="32" t="n"/>
      <c r="J33" s="32" t="n"/>
      <c r="K33" s="34" t="n"/>
      <c r="L33" s="35" t="n"/>
      <c r="M33" s="35" t="n"/>
      <c r="N33" s="32">
        <f>IF(AND(L33&lt;&gt;"",M33&lt;&gt;""),M33-L33,"")</f>
        <v/>
      </c>
      <c r="O33" s="33" t="n"/>
      <c r="P33" s="1" t="n"/>
      <c r="Q33" s="1" t="n"/>
      <c r="R33" s="1" t="n"/>
      <c r="S33" s="1" t="n"/>
      <c r="T33" s="1" t="n"/>
    </row>
    <row r="34" ht="15.75" customHeight="1">
      <c r="A34" s="10" t="n"/>
      <c r="B34" s="10" t="n"/>
      <c r="C34" s="11" t="n"/>
      <c r="D34" s="28" t="n">
        <v>27</v>
      </c>
      <c r="E34" s="29" t="n"/>
      <c r="F34" s="28" t="n"/>
      <c r="G34" s="28" t="n"/>
      <c r="H34" s="28" t="n"/>
      <c r="I34" s="28" t="n"/>
      <c r="J34" s="28" t="n"/>
      <c r="K34" s="30" t="n"/>
      <c r="L34" s="31" t="n"/>
      <c r="M34" s="31" t="n"/>
      <c r="N34" s="28">
        <f>IF(AND(L34&lt;&gt;"",M34&lt;&gt;""),M34-L34,"")</f>
        <v/>
      </c>
      <c r="O34" s="29" t="n"/>
      <c r="P34" s="1" t="n"/>
      <c r="Q34" s="1" t="n"/>
      <c r="R34" s="1" t="n"/>
      <c r="S34" s="1" t="n"/>
      <c r="T34" s="1" t="n"/>
    </row>
    <row r="35" ht="15.75" customHeight="1">
      <c r="A35" s="10" t="n"/>
      <c r="B35" s="10" t="n"/>
      <c r="C35" s="11" t="n"/>
      <c r="D35" s="32" t="n">
        <v>28</v>
      </c>
      <c r="E35" s="33" t="n"/>
      <c r="F35" s="32" t="n"/>
      <c r="G35" s="32" t="n"/>
      <c r="H35" s="32" t="n"/>
      <c r="I35" s="32" t="n"/>
      <c r="J35" s="32" t="n"/>
      <c r="K35" s="34" t="n"/>
      <c r="L35" s="35" t="n"/>
      <c r="M35" s="35" t="n"/>
      <c r="N35" s="32">
        <f>IF(AND(L35&lt;&gt;"",M35&lt;&gt;""),M35-L35,"")</f>
        <v/>
      </c>
      <c r="O35" s="33" t="n"/>
      <c r="P35" s="1" t="n"/>
      <c r="Q35" s="1" t="n"/>
      <c r="R35" s="1" t="n"/>
      <c r="S35" s="1" t="n"/>
      <c r="T35" s="1" t="n"/>
    </row>
    <row r="36" ht="15.75" customHeight="1">
      <c r="A36" s="10" t="n"/>
      <c r="B36" s="10" t="n"/>
      <c r="C36" s="11" t="n"/>
      <c r="D36" s="28" t="n">
        <v>29</v>
      </c>
      <c r="E36" s="29" t="n"/>
      <c r="F36" s="28" t="n"/>
      <c r="G36" s="28" t="n"/>
      <c r="H36" s="28" t="n"/>
      <c r="I36" s="28" t="n"/>
      <c r="J36" s="28" t="n"/>
      <c r="K36" s="30" t="n"/>
      <c r="L36" s="31" t="n"/>
      <c r="M36" s="31" t="n"/>
      <c r="N36" s="28">
        <f>IF(AND(L36&lt;&gt;"",M36&lt;&gt;""),M36-L36,"")</f>
        <v/>
      </c>
      <c r="O36" s="29" t="n"/>
      <c r="P36" s="1" t="n"/>
      <c r="Q36" s="1" t="n"/>
      <c r="R36" s="1" t="n"/>
      <c r="S36" s="1" t="n"/>
      <c r="T36" s="1" t="n"/>
    </row>
    <row r="37" ht="15.75" customHeight="1">
      <c r="A37" s="10" t="n"/>
      <c r="B37" s="10" t="n"/>
      <c r="C37" s="11" t="n"/>
      <c r="D37" s="32" t="n">
        <v>30</v>
      </c>
      <c r="E37" s="33" t="n"/>
      <c r="F37" s="32" t="n"/>
      <c r="G37" s="32" t="n"/>
      <c r="H37" s="32" t="n"/>
      <c r="I37" s="32" t="n"/>
      <c r="J37" s="32" t="n"/>
      <c r="K37" s="34" t="n"/>
      <c r="L37" s="35" t="n"/>
      <c r="M37" s="35" t="n"/>
      <c r="N37" s="32">
        <f>IF(AND(L37&lt;&gt;"",M37&lt;&gt;""),M37-L37,"")</f>
        <v/>
      </c>
      <c r="O37" s="33" t="n"/>
      <c r="P37" s="1" t="n"/>
      <c r="Q37" s="1" t="n"/>
      <c r="R37" s="1" t="n"/>
      <c r="S37" s="1" t="n"/>
      <c r="T37" s="1" t="n"/>
    </row>
    <row r="38" ht="15.75" customHeight="1">
      <c r="A38" s="10" t="n"/>
      <c r="B38" s="10" t="n"/>
      <c r="C38" s="11" t="n"/>
      <c r="D38" s="28" t="n">
        <v>31</v>
      </c>
      <c r="E38" s="29" t="n"/>
      <c r="F38" s="28" t="n"/>
      <c r="G38" s="28" t="n"/>
      <c r="H38" s="28" t="n"/>
      <c r="I38" s="28" t="n"/>
      <c r="J38" s="28" t="n"/>
      <c r="K38" s="30" t="n"/>
      <c r="L38" s="31" t="n"/>
      <c r="M38" s="31" t="n"/>
      <c r="N38" s="28">
        <f>IF(AND(L38&lt;&gt;"",M38&lt;&gt;""),M38-L38,"")</f>
        <v/>
      </c>
      <c r="O38" s="29" t="n"/>
      <c r="P38" s="1" t="n"/>
      <c r="Q38" s="1" t="n"/>
      <c r="R38" s="1" t="n"/>
      <c r="S38" s="1" t="n"/>
      <c r="T38" s="1" t="n"/>
    </row>
    <row r="39" ht="15.75" customHeight="1">
      <c r="A39" s="10" t="n"/>
      <c r="B39" s="10" t="n"/>
      <c r="C39" s="11" t="n"/>
      <c r="D39" s="32" t="n">
        <v>32</v>
      </c>
      <c r="E39" s="33" t="n"/>
      <c r="F39" s="32" t="n"/>
      <c r="G39" s="32" t="n"/>
      <c r="H39" s="32" t="n"/>
      <c r="I39" s="32" t="n"/>
      <c r="J39" s="32" t="n"/>
      <c r="K39" s="34" t="n"/>
      <c r="L39" s="35" t="n"/>
      <c r="M39" s="35" t="n"/>
      <c r="N39" s="32">
        <f>IF(AND(L39&lt;&gt;"",M39&lt;&gt;""),M39-L39,"")</f>
        <v/>
      </c>
      <c r="O39" s="33" t="n"/>
      <c r="P39" s="1" t="n"/>
      <c r="Q39" s="1" t="n"/>
      <c r="R39" s="1" t="n"/>
      <c r="S39" s="1" t="n"/>
      <c r="T39" s="1" t="n"/>
    </row>
    <row r="40" ht="15.75" customHeight="1">
      <c r="A40" s="10" t="n"/>
      <c r="B40" s="10" t="n"/>
      <c r="C40" s="11" t="n"/>
      <c r="D40" s="28" t="n">
        <v>33</v>
      </c>
      <c r="E40" s="29" t="n"/>
      <c r="F40" s="28" t="n"/>
      <c r="G40" s="28" t="n"/>
      <c r="H40" s="28" t="n"/>
      <c r="I40" s="28" t="n"/>
      <c r="J40" s="28" t="n"/>
      <c r="K40" s="30" t="n"/>
      <c r="L40" s="31" t="n"/>
      <c r="M40" s="31" t="n"/>
      <c r="N40" s="28">
        <f>IF(AND(L40&lt;&gt;"",M40&lt;&gt;""),M40-L40,"")</f>
        <v/>
      </c>
      <c r="O40" s="29" t="n"/>
      <c r="P40" s="1" t="n"/>
      <c r="Q40" s="1" t="n"/>
      <c r="R40" s="1" t="n"/>
      <c r="S40" s="1" t="n"/>
      <c r="T40" s="1" t="n"/>
    </row>
    <row r="41" ht="15.75" customHeight="1">
      <c r="A41" s="10" t="n"/>
      <c r="B41" s="10" t="n"/>
      <c r="C41" s="11" t="n"/>
      <c r="D41" s="32" t="n">
        <v>34</v>
      </c>
      <c r="E41" s="33" t="n"/>
      <c r="F41" s="32" t="n"/>
      <c r="G41" s="32" t="n"/>
      <c r="H41" s="32" t="n"/>
      <c r="I41" s="32" t="n"/>
      <c r="J41" s="32" t="n"/>
      <c r="K41" s="34" t="n"/>
      <c r="L41" s="35" t="n"/>
      <c r="M41" s="35" t="n"/>
      <c r="N41" s="32">
        <f>IF(AND(L41&lt;&gt;"",M41&lt;&gt;""),M41-L41,"")</f>
        <v/>
      </c>
      <c r="O41" s="33" t="n"/>
      <c r="P41" s="1" t="n"/>
      <c r="Q41" s="1" t="n"/>
      <c r="R41" s="1" t="n"/>
      <c r="S41" s="1" t="n"/>
      <c r="T41" s="1" t="n"/>
    </row>
    <row r="42" ht="15.75" customHeight="1">
      <c r="A42" s="10" t="n"/>
      <c r="B42" s="10" t="n"/>
      <c r="C42" s="11" t="n"/>
      <c r="D42" s="28" t="n">
        <v>35</v>
      </c>
      <c r="E42" s="29" t="n"/>
      <c r="F42" s="28" t="n"/>
      <c r="G42" s="28" t="n"/>
      <c r="H42" s="28" t="n"/>
      <c r="I42" s="28" t="n"/>
      <c r="J42" s="28" t="n"/>
      <c r="K42" s="30" t="n"/>
      <c r="L42" s="31" t="n"/>
      <c r="M42" s="31" t="n"/>
      <c r="N42" s="28">
        <f>IF(AND(L42&lt;&gt;"",M42&lt;&gt;""),M42-L42,"")</f>
        <v/>
      </c>
      <c r="O42" s="29" t="n"/>
      <c r="P42" s="1" t="n"/>
      <c r="Q42" s="1" t="n"/>
      <c r="R42" s="1" t="n"/>
      <c r="S42" s="1" t="n"/>
      <c r="T42" s="1" t="n"/>
    </row>
    <row r="43" ht="15.75" customHeight="1">
      <c r="A43" s="10" t="n"/>
      <c r="B43" s="10" t="n"/>
      <c r="C43" s="11" t="n"/>
      <c r="D43" s="32" t="n">
        <v>36</v>
      </c>
      <c r="E43" s="33" t="n"/>
      <c r="F43" s="32" t="n"/>
      <c r="G43" s="32" t="n"/>
      <c r="H43" s="32" t="n"/>
      <c r="I43" s="32" t="n"/>
      <c r="J43" s="32" t="n"/>
      <c r="K43" s="34" t="n"/>
      <c r="L43" s="35" t="n"/>
      <c r="M43" s="35" t="n"/>
      <c r="N43" s="32">
        <f>IF(AND(L43&lt;&gt;"",M43&lt;&gt;""),M43-L43,"")</f>
        <v/>
      </c>
      <c r="O43" s="33" t="n"/>
      <c r="P43" s="1" t="n"/>
      <c r="Q43" s="1" t="n"/>
      <c r="R43" s="1" t="n"/>
      <c r="S43" s="1" t="n"/>
      <c r="T43" s="1" t="n"/>
    </row>
    <row r="44" ht="15.75" customHeight="1">
      <c r="A44" s="10" t="n"/>
      <c r="B44" s="10" t="n"/>
      <c r="C44" s="11" t="n"/>
      <c r="D44" s="28" t="n">
        <v>37</v>
      </c>
      <c r="E44" s="29" t="n"/>
      <c r="F44" s="28" t="n"/>
      <c r="G44" s="28" t="n"/>
      <c r="H44" s="28" t="n"/>
      <c r="I44" s="28" t="n"/>
      <c r="J44" s="28" t="n"/>
      <c r="K44" s="30" t="n"/>
      <c r="L44" s="31" t="n"/>
      <c r="M44" s="31" t="n"/>
      <c r="N44" s="28">
        <f>IF(AND(L44&lt;&gt;"",M44&lt;&gt;""),M44-L44,"")</f>
        <v/>
      </c>
      <c r="O44" s="29" t="n"/>
      <c r="P44" s="1" t="n"/>
      <c r="Q44" s="1" t="n"/>
      <c r="R44" s="1" t="n"/>
      <c r="S44" s="1" t="n"/>
      <c r="T44" s="1" t="n"/>
    </row>
    <row r="45" ht="15.75" customHeight="1">
      <c r="A45" s="10" t="n"/>
      <c r="B45" s="10" t="n"/>
      <c r="C45" s="11" t="n"/>
      <c r="D45" s="32" t="n">
        <v>38</v>
      </c>
      <c r="E45" s="33" t="n"/>
      <c r="F45" s="32" t="n"/>
      <c r="G45" s="32" t="n"/>
      <c r="H45" s="32" t="n"/>
      <c r="I45" s="32" t="n"/>
      <c r="J45" s="32" t="n"/>
      <c r="K45" s="34" t="n"/>
      <c r="L45" s="35" t="n"/>
      <c r="M45" s="35" t="n"/>
      <c r="N45" s="32">
        <f>IF(AND(L45&lt;&gt;"",M45&lt;&gt;""),M45-L45,"")</f>
        <v/>
      </c>
      <c r="O45" s="33" t="n"/>
      <c r="P45" s="1" t="n"/>
      <c r="Q45" s="1" t="n"/>
      <c r="R45" s="1" t="n"/>
      <c r="S45" s="1" t="n"/>
      <c r="T45" s="1" t="n"/>
    </row>
    <row r="46" ht="15.75" customHeight="1">
      <c r="A46" s="10" t="n"/>
      <c r="B46" s="10" t="n"/>
      <c r="C46" s="11" t="n"/>
      <c r="D46" s="28" t="n">
        <v>39</v>
      </c>
      <c r="E46" s="29" t="n"/>
      <c r="F46" s="28" t="n"/>
      <c r="G46" s="28" t="n"/>
      <c r="H46" s="28" t="n"/>
      <c r="I46" s="28" t="n"/>
      <c r="J46" s="28" t="n"/>
      <c r="K46" s="30" t="n"/>
      <c r="L46" s="31" t="n"/>
      <c r="M46" s="31" t="n"/>
      <c r="N46" s="28">
        <f>IF(AND(L46&lt;&gt;"",M46&lt;&gt;""),M46-L46,"")</f>
        <v/>
      </c>
      <c r="O46" s="29" t="n"/>
      <c r="P46" s="1" t="n"/>
      <c r="Q46" s="1" t="n"/>
      <c r="R46" s="1" t="n"/>
      <c r="S46" s="1" t="n"/>
      <c r="T46" s="1" t="n"/>
    </row>
    <row r="47" ht="15.75" customHeight="1">
      <c r="A47" s="10" t="n"/>
      <c r="B47" s="10" t="n"/>
      <c r="C47" s="11" t="n"/>
      <c r="D47" s="32" t="n">
        <v>40</v>
      </c>
      <c r="E47" s="33" t="n"/>
      <c r="F47" s="32" t="n"/>
      <c r="G47" s="32" t="n"/>
      <c r="H47" s="32" t="n"/>
      <c r="I47" s="32" t="n"/>
      <c r="J47" s="32" t="n"/>
      <c r="K47" s="34" t="n"/>
      <c r="L47" s="35" t="n"/>
      <c r="M47" s="35" t="n"/>
      <c r="N47" s="32">
        <f>IF(AND(L47&lt;&gt;"",M47&lt;&gt;""),M47-L47,"")</f>
        <v/>
      </c>
      <c r="O47" s="33" t="n"/>
      <c r="P47" s="1" t="n"/>
      <c r="Q47" s="1" t="n"/>
      <c r="R47" s="1" t="n"/>
      <c r="S47" s="1" t="n"/>
      <c r="T47" s="1" t="n"/>
    </row>
    <row r="48" ht="15.75" customHeight="1">
      <c r="A48" s="10" t="n"/>
      <c r="B48" s="10" t="n"/>
      <c r="C48" s="11" t="n"/>
      <c r="D48" s="28" t="n">
        <v>41</v>
      </c>
      <c r="E48" s="29" t="n"/>
      <c r="F48" s="28" t="n"/>
      <c r="G48" s="28" t="n"/>
      <c r="H48" s="28" t="n"/>
      <c r="I48" s="28" t="n"/>
      <c r="J48" s="28" t="n"/>
      <c r="K48" s="30" t="n"/>
      <c r="L48" s="31" t="n"/>
      <c r="M48" s="31" t="n"/>
      <c r="N48" s="28">
        <f>IF(AND(L48&lt;&gt;"",M48&lt;&gt;""),M48-L48,"")</f>
        <v/>
      </c>
      <c r="O48" s="29" t="n"/>
      <c r="P48" s="1" t="n"/>
      <c r="Q48" s="1" t="n"/>
      <c r="R48" s="1" t="n"/>
      <c r="S48" s="1" t="n"/>
      <c r="T48" s="1" t="n"/>
    </row>
    <row r="49" ht="15.75" customHeight="1">
      <c r="A49" s="10" t="n"/>
      <c r="B49" s="10" t="n"/>
      <c r="C49" s="11" t="n"/>
      <c r="D49" s="32" t="n">
        <v>42</v>
      </c>
      <c r="E49" s="33" t="n"/>
      <c r="F49" s="32" t="n"/>
      <c r="G49" s="32" t="n"/>
      <c r="H49" s="32" t="n"/>
      <c r="I49" s="32" t="n"/>
      <c r="J49" s="32" t="n"/>
      <c r="K49" s="34" t="n"/>
      <c r="L49" s="35" t="n"/>
      <c r="M49" s="35" t="n"/>
      <c r="N49" s="32">
        <f>IF(AND(L49&lt;&gt;"",M49&lt;&gt;""),M49-L49,"")</f>
        <v/>
      </c>
      <c r="O49" s="33" t="n"/>
      <c r="P49" s="1" t="n"/>
      <c r="Q49" s="1" t="n"/>
      <c r="R49" s="1" t="n"/>
      <c r="S49" s="1" t="n"/>
      <c r="T49" s="1" t="n"/>
    </row>
    <row r="50" ht="15.75" customHeight="1">
      <c r="A50" s="10" t="n"/>
      <c r="B50" s="10" t="n"/>
      <c r="C50" s="11" t="n"/>
      <c r="D50" s="28" t="n">
        <v>43</v>
      </c>
      <c r="E50" s="29" t="n"/>
      <c r="F50" s="28" t="n"/>
      <c r="G50" s="28" t="n"/>
      <c r="H50" s="28" t="n"/>
      <c r="I50" s="28" t="n"/>
      <c r="J50" s="28" t="n"/>
      <c r="K50" s="30" t="n"/>
      <c r="L50" s="31" t="n"/>
      <c r="M50" s="31" t="n"/>
      <c r="N50" s="28">
        <f>IF(AND(L50&lt;&gt;"",M50&lt;&gt;""),M50-L50,"")</f>
        <v/>
      </c>
      <c r="O50" s="29" t="n"/>
      <c r="P50" s="1" t="n"/>
      <c r="Q50" s="1" t="n"/>
      <c r="R50" s="1" t="n"/>
      <c r="S50" s="1" t="n"/>
      <c r="T50" s="1" t="n"/>
    </row>
    <row r="51" ht="15.75" customHeight="1">
      <c r="A51" s="10" t="n"/>
      <c r="B51" s="10" t="n"/>
      <c r="C51" s="11" t="n"/>
      <c r="D51" s="32" t="n">
        <v>44</v>
      </c>
      <c r="E51" s="33" t="n"/>
      <c r="F51" s="32" t="n"/>
      <c r="G51" s="32" t="n"/>
      <c r="H51" s="32" t="n"/>
      <c r="I51" s="32" t="n"/>
      <c r="J51" s="32" t="n"/>
      <c r="K51" s="34" t="n"/>
      <c r="L51" s="35" t="n"/>
      <c r="M51" s="35" t="n"/>
      <c r="N51" s="32">
        <f>IF(AND(L51&lt;&gt;"",M51&lt;&gt;""),M51-L51,"")</f>
        <v/>
      </c>
      <c r="O51" s="33" t="n"/>
      <c r="P51" s="1" t="n"/>
      <c r="Q51" s="1" t="n"/>
      <c r="R51" s="1" t="n"/>
      <c r="S51" s="1" t="n"/>
      <c r="T51" s="1" t="n"/>
    </row>
    <row r="52" ht="15.75" customHeight="1">
      <c r="A52" s="10" t="n"/>
      <c r="B52" s="10" t="n"/>
      <c r="C52" s="11" t="n"/>
      <c r="D52" s="28" t="n">
        <v>45</v>
      </c>
      <c r="E52" s="29" t="n"/>
      <c r="F52" s="28" t="n"/>
      <c r="G52" s="28" t="n"/>
      <c r="H52" s="28" t="n"/>
      <c r="I52" s="28" t="n"/>
      <c r="J52" s="28" t="n"/>
      <c r="K52" s="30" t="n"/>
      <c r="L52" s="31" t="n"/>
      <c r="M52" s="31" t="n"/>
      <c r="N52" s="28">
        <f>IF(AND(L52&lt;&gt;"",M52&lt;&gt;""),M52-L52,"")</f>
        <v/>
      </c>
      <c r="O52" s="29" t="n"/>
      <c r="P52" s="1" t="n"/>
      <c r="Q52" s="1" t="n"/>
      <c r="R52" s="1" t="n"/>
      <c r="S52" s="1" t="n"/>
      <c r="T52" s="1" t="n"/>
    </row>
    <row r="53" ht="15.75" customHeight="1">
      <c r="A53" s="10" t="n"/>
      <c r="B53" s="10" t="n"/>
      <c r="C53" s="11" t="n"/>
      <c r="D53" s="32" t="n">
        <v>46</v>
      </c>
      <c r="E53" s="33" t="n"/>
      <c r="F53" s="32" t="n"/>
      <c r="G53" s="32" t="n"/>
      <c r="H53" s="32" t="n"/>
      <c r="I53" s="32" t="n"/>
      <c r="J53" s="32" t="n"/>
      <c r="K53" s="34" t="n"/>
      <c r="L53" s="35" t="n"/>
      <c r="M53" s="35" t="n"/>
      <c r="N53" s="32">
        <f>IF(AND(L53&lt;&gt;"",M53&lt;&gt;""),M53-L53,"")</f>
        <v/>
      </c>
      <c r="O53" s="33" t="n"/>
      <c r="P53" s="1" t="n"/>
      <c r="Q53" s="1" t="n"/>
      <c r="R53" s="1" t="n"/>
      <c r="S53" s="1" t="n"/>
      <c r="T53" s="1" t="n"/>
    </row>
    <row r="54" ht="15.75" customHeight="1">
      <c r="A54" s="10" t="n"/>
      <c r="B54" s="10" t="n"/>
      <c r="C54" s="11" t="n"/>
      <c r="D54" s="28" t="n">
        <v>47</v>
      </c>
      <c r="E54" s="29" t="n"/>
      <c r="F54" s="28" t="n"/>
      <c r="G54" s="28" t="n"/>
      <c r="H54" s="28" t="n"/>
      <c r="I54" s="28" t="n"/>
      <c r="J54" s="28" t="n"/>
      <c r="K54" s="30" t="n"/>
      <c r="L54" s="31" t="n"/>
      <c r="M54" s="31" t="n"/>
      <c r="N54" s="28">
        <f>IF(AND(L54&lt;&gt;"",M54&lt;&gt;""),M54-L54,"")</f>
        <v/>
      </c>
      <c r="O54" s="29" t="n"/>
      <c r="P54" s="1" t="n"/>
      <c r="Q54" s="1" t="n"/>
      <c r="R54" s="1" t="n"/>
      <c r="S54" s="1" t="n"/>
      <c r="T54" s="1" t="n"/>
    </row>
    <row r="55" ht="15.75" customHeight="1">
      <c r="A55" s="1" t="n"/>
      <c r="B55" s="1" t="n"/>
      <c r="C55" s="1" t="n"/>
      <c r="D55" s="32" t="n">
        <v>48</v>
      </c>
      <c r="E55" s="33" t="n"/>
      <c r="F55" s="32" t="n"/>
      <c r="G55" s="32" t="n"/>
      <c r="H55" s="32" t="n"/>
      <c r="I55" s="32" t="n"/>
      <c r="J55" s="32" t="n"/>
      <c r="K55" s="34" t="n"/>
      <c r="L55" s="35" t="n"/>
      <c r="M55" s="35" t="n"/>
      <c r="N55" s="32">
        <f>IF(AND(L55&lt;&gt;"",M55&lt;&gt;""),M55-L55,"")</f>
        <v/>
      </c>
      <c r="O55" s="33" t="n"/>
      <c r="P55" s="1" t="n"/>
      <c r="Q55" s="1" t="n"/>
      <c r="R55" s="1" t="n"/>
      <c r="S55" s="1" t="n"/>
      <c r="T55" s="1" t="n"/>
    </row>
    <row r="56" ht="15.75" customHeight="1">
      <c r="A56" s="1" t="n"/>
      <c r="B56" s="1" t="n"/>
      <c r="C56" s="1" t="n"/>
      <c r="D56" s="28" t="n">
        <v>49</v>
      </c>
      <c r="E56" s="29" t="n"/>
      <c r="F56" s="28" t="n"/>
      <c r="G56" s="28" t="n"/>
      <c r="H56" s="28" t="n"/>
      <c r="I56" s="28" t="n"/>
      <c r="J56" s="28" t="n"/>
      <c r="K56" s="30" t="n"/>
      <c r="L56" s="31" t="n"/>
      <c r="M56" s="31" t="n"/>
      <c r="N56" s="28">
        <f>IF(AND(L56&lt;&gt;"",M56&lt;&gt;""),M56-L56,"")</f>
        <v/>
      </c>
      <c r="O56" s="29" t="n"/>
      <c r="P56" s="1" t="n"/>
      <c r="Q56" s="1" t="n"/>
      <c r="R56" s="1" t="n"/>
      <c r="S56" s="1" t="n"/>
      <c r="T56" s="1" t="n"/>
    </row>
    <row r="57" ht="15.75" customHeight="1">
      <c r="A57" s="1" t="n"/>
      <c r="B57" s="1" t="n"/>
      <c r="C57" s="1" t="n"/>
      <c r="D57" s="32" t="n">
        <v>50</v>
      </c>
      <c r="E57" s="33" t="n"/>
      <c r="F57" s="32" t="n"/>
      <c r="G57" s="32" t="n"/>
      <c r="H57" s="32" t="n"/>
      <c r="I57" s="32" t="n"/>
      <c r="J57" s="32" t="n"/>
      <c r="K57" s="34" t="n"/>
      <c r="L57" s="35" t="n"/>
      <c r="M57" s="35" t="n"/>
      <c r="N57" s="32">
        <f>IF(AND(L57&lt;&gt;"",M57&lt;&gt;""),M57-L57,"")</f>
        <v/>
      </c>
      <c r="O57" s="33" t="n"/>
      <c r="P57" s="1" t="n"/>
      <c r="Q57" s="1" t="n"/>
      <c r="R57" s="1" t="n"/>
      <c r="S57" s="1" t="n"/>
      <c r="T57" s="1" t="n"/>
    </row>
    <row r="58" ht="15.75" customHeight="1">
      <c r="A58" s="1" t="n"/>
      <c r="B58" s="1" t="n"/>
      <c r="C58" s="1" t="n"/>
      <c r="D58" s="28" t="n">
        <v>51</v>
      </c>
      <c r="E58" s="29" t="n"/>
      <c r="F58" s="28" t="n"/>
      <c r="G58" s="28" t="n"/>
      <c r="H58" s="28" t="n"/>
      <c r="I58" s="28" t="n"/>
      <c r="J58" s="28" t="n"/>
      <c r="K58" s="30" t="n"/>
      <c r="L58" s="31" t="n"/>
      <c r="M58" s="31" t="n"/>
      <c r="N58" s="28">
        <f>IF(AND(L58&lt;&gt;"",M58&lt;&gt;""),M58-L58,"")</f>
        <v/>
      </c>
      <c r="O58" s="29" t="n"/>
      <c r="P58" s="1" t="n"/>
      <c r="Q58" s="1" t="n"/>
      <c r="R58" s="1" t="n"/>
      <c r="S58" s="1" t="n"/>
      <c r="T58" s="1" t="n"/>
    </row>
    <row r="59" ht="15.75" customHeight="1">
      <c r="A59" s="1" t="n"/>
      <c r="B59" s="1" t="n"/>
      <c r="C59" s="1" t="n"/>
      <c r="D59" s="32" t="n">
        <v>52</v>
      </c>
      <c r="E59" s="33" t="n"/>
      <c r="F59" s="32" t="n"/>
      <c r="G59" s="32" t="n"/>
      <c r="H59" s="32" t="n"/>
      <c r="I59" s="32" t="n"/>
      <c r="J59" s="32" t="n"/>
      <c r="K59" s="34" t="n"/>
      <c r="L59" s="35" t="n"/>
      <c r="M59" s="35" t="n"/>
      <c r="N59" s="32">
        <f>IF(AND(L59&lt;&gt;"",M59&lt;&gt;""),M59-L59,"")</f>
        <v/>
      </c>
      <c r="O59" s="33" t="n"/>
      <c r="P59" s="1" t="n"/>
      <c r="Q59" s="1" t="n"/>
      <c r="R59" s="1" t="n"/>
      <c r="S59" s="1" t="n"/>
      <c r="T59" s="1" t="n"/>
    </row>
    <row r="60" ht="15.75" customHeight="1">
      <c r="A60" s="1" t="n"/>
      <c r="B60" s="1" t="n"/>
      <c r="C60" s="1" t="n"/>
      <c r="D60" s="28" t="n">
        <v>53</v>
      </c>
      <c r="E60" s="29" t="n"/>
      <c r="F60" s="28" t="n"/>
      <c r="G60" s="28" t="n"/>
      <c r="H60" s="28" t="n"/>
      <c r="I60" s="28" t="n"/>
      <c r="J60" s="28" t="n"/>
      <c r="K60" s="30" t="n"/>
      <c r="L60" s="31" t="n"/>
      <c r="M60" s="31" t="n"/>
      <c r="N60" s="28">
        <f>IF(AND(L60&lt;&gt;"",M60&lt;&gt;""),M60-L60,"")</f>
        <v/>
      </c>
      <c r="O60" s="29" t="n"/>
      <c r="P60" s="1" t="n"/>
      <c r="Q60" s="1" t="n"/>
      <c r="R60" s="1" t="n"/>
      <c r="S60" s="1" t="n"/>
      <c r="T60" s="1" t="n"/>
    </row>
    <row r="61" ht="15.75" customHeight="1">
      <c r="A61" s="1" t="n"/>
      <c r="B61" s="1" t="n"/>
      <c r="C61" s="1" t="n"/>
      <c r="D61" s="32" t="n">
        <v>54</v>
      </c>
      <c r="E61" s="33" t="n"/>
      <c r="F61" s="32" t="n"/>
      <c r="G61" s="32" t="n"/>
      <c r="H61" s="32" t="n"/>
      <c r="I61" s="32" t="n"/>
      <c r="J61" s="32" t="n"/>
      <c r="K61" s="34" t="n"/>
      <c r="L61" s="35" t="n"/>
      <c r="M61" s="35" t="n"/>
      <c r="N61" s="32">
        <f>IF(AND(L61&lt;&gt;"",M61&lt;&gt;""),M61-L61,"")</f>
        <v/>
      </c>
      <c r="O61" s="33" t="n"/>
      <c r="P61" s="1" t="n"/>
      <c r="Q61" s="1" t="n"/>
      <c r="R61" s="1" t="n"/>
      <c r="S61" s="1" t="n"/>
      <c r="T61" s="1" t="n"/>
    </row>
    <row r="62" ht="15.75" customHeight="1">
      <c r="A62" s="1" t="n"/>
      <c r="B62" s="1" t="n"/>
      <c r="C62" s="1" t="n"/>
      <c r="D62" s="28" t="n">
        <v>55</v>
      </c>
      <c r="E62" s="29" t="n"/>
      <c r="F62" s="28" t="n"/>
      <c r="G62" s="28" t="n"/>
      <c r="H62" s="28" t="n"/>
      <c r="I62" s="28" t="n"/>
      <c r="J62" s="28" t="n"/>
      <c r="K62" s="30" t="n"/>
      <c r="L62" s="31" t="n"/>
      <c r="M62" s="31" t="n"/>
      <c r="N62" s="28">
        <f>IF(AND(L62&lt;&gt;"",M62&lt;&gt;""),M62-L62,"")</f>
        <v/>
      </c>
      <c r="O62" s="29" t="n"/>
      <c r="P62" s="1" t="n"/>
      <c r="Q62" s="1" t="n"/>
      <c r="R62" s="1" t="n"/>
      <c r="S62" s="1" t="n"/>
      <c r="T62" s="1" t="n"/>
    </row>
    <row r="63" ht="15.75" customHeight="1">
      <c r="A63" s="1" t="n"/>
      <c r="B63" s="1" t="n"/>
      <c r="C63" s="1" t="n"/>
      <c r="D63" s="32" t="n">
        <v>56</v>
      </c>
      <c r="E63" s="33" t="n"/>
      <c r="F63" s="32" t="n"/>
      <c r="G63" s="32" t="n"/>
      <c r="H63" s="32" t="n"/>
      <c r="I63" s="32" t="n"/>
      <c r="J63" s="32" t="n"/>
      <c r="K63" s="34" t="n"/>
      <c r="L63" s="35" t="n"/>
      <c r="M63" s="35" t="n"/>
      <c r="N63" s="32">
        <f>IF(AND(L63&lt;&gt;"",M63&lt;&gt;""),M63-L63,"")</f>
        <v/>
      </c>
      <c r="O63" s="33" t="n"/>
      <c r="P63" s="1" t="n"/>
      <c r="Q63" s="1" t="n"/>
      <c r="R63" s="1" t="n"/>
      <c r="S63" s="1" t="n"/>
      <c r="T63" s="1" t="n"/>
    </row>
    <row r="64" ht="15.75" customHeight="1">
      <c r="A64" s="1" t="n"/>
      <c r="B64" s="1" t="n"/>
      <c r="C64" s="1" t="n"/>
      <c r="D64" s="28" t="n">
        <v>57</v>
      </c>
      <c r="E64" s="29" t="n"/>
      <c r="F64" s="28" t="n"/>
      <c r="G64" s="28" t="n"/>
      <c r="H64" s="28" t="n"/>
      <c r="I64" s="28" t="n"/>
      <c r="J64" s="28" t="n"/>
      <c r="K64" s="30" t="n"/>
      <c r="L64" s="31" t="n"/>
      <c r="M64" s="31" t="n"/>
      <c r="N64" s="28">
        <f>IF(AND(L64&lt;&gt;"",M64&lt;&gt;""),M64-L64,"")</f>
        <v/>
      </c>
      <c r="O64" s="29" t="n"/>
      <c r="P64" s="1" t="n"/>
      <c r="Q64" s="1" t="n"/>
      <c r="R64" s="1" t="n"/>
      <c r="S64" s="1" t="n"/>
      <c r="T64" s="1" t="n"/>
    </row>
    <row r="65" ht="15.75" customHeight="1">
      <c r="A65" s="1" t="n"/>
      <c r="B65" s="1" t="n"/>
      <c r="C65" s="1" t="n"/>
      <c r="D65" s="32" t="n">
        <v>58</v>
      </c>
      <c r="E65" s="33" t="n"/>
      <c r="F65" s="32" t="n"/>
      <c r="G65" s="32" t="n"/>
      <c r="H65" s="32" t="n"/>
      <c r="I65" s="32" t="n"/>
      <c r="J65" s="32" t="n"/>
      <c r="K65" s="34" t="n"/>
      <c r="L65" s="35" t="n"/>
      <c r="M65" s="35" t="n"/>
      <c r="N65" s="32">
        <f>IF(AND(L65&lt;&gt;"",M65&lt;&gt;""),M65-L65,"")</f>
        <v/>
      </c>
      <c r="O65" s="33" t="n"/>
      <c r="P65" s="1" t="n"/>
      <c r="Q65" s="1" t="n"/>
      <c r="R65" s="1" t="n"/>
      <c r="S65" s="1" t="n"/>
      <c r="T65" s="1" t="n"/>
    </row>
    <row r="66" ht="15.75" customHeight="1">
      <c r="A66" s="1" t="n"/>
      <c r="B66" s="1" t="n"/>
      <c r="C66" s="1" t="n"/>
      <c r="D66" s="28" t="n">
        <v>59</v>
      </c>
      <c r="E66" s="29" t="n"/>
      <c r="F66" s="28" t="n"/>
      <c r="G66" s="28" t="n"/>
      <c r="H66" s="28" t="n"/>
      <c r="I66" s="28" t="n"/>
      <c r="J66" s="28" t="n"/>
      <c r="K66" s="30" t="n"/>
      <c r="L66" s="31" t="n"/>
      <c r="M66" s="31" t="n"/>
      <c r="N66" s="28">
        <f>IF(AND(L66&lt;&gt;"",M66&lt;&gt;""),M66-L66,"")</f>
        <v/>
      </c>
      <c r="O66" s="29" t="n"/>
      <c r="P66" s="1" t="n"/>
      <c r="Q66" s="1" t="n"/>
      <c r="R66" s="1" t="n"/>
      <c r="S66" s="1" t="n"/>
      <c r="T66" s="1" t="n"/>
    </row>
    <row r="67" ht="15.75" customHeight="1">
      <c r="A67" s="1" t="n"/>
      <c r="B67" s="1" t="n"/>
      <c r="C67" s="1" t="n"/>
      <c r="D67" s="32" t="n">
        <v>60</v>
      </c>
      <c r="E67" s="33" t="n"/>
      <c r="F67" s="32" t="n"/>
      <c r="G67" s="32" t="n"/>
      <c r="H67" s="32" t="n"/>
      <c r="I67" s="32" t="n"/>
      <c r="J67" s="32" t="n"/>
      <c r="K67" s="34" t="n"/>
      <c r="L67" s="35" t="n"/>
      <c r="M67" s="35" t="n"/>
      <c r="N67" s="32">
        <f>IF(AND(L67&lt;&gt;"",M67&lt;&gt;""),M67-L67,"")</f>
        <v/>
      </c>
      <c r="O67" s="33" t="n"/>
      <c r="P67" s="1" t="n"/>
      <c r="Q67" s="1" t="n"/>
      <c r="R67" s="1" t="n"/>
      <c r="S67" s="1" t="n"/>
      <c r="T67" s="1" t="n"/>
    </row>
    <row r="68" ht="15.75" customHeight="1">
      <c r="A68" s="1" t="n"/>
      <c r="B68" s="1" t="n"/>
      <c r="C68" s="1" t="n"/>
      <c r="D68" s="28" t="n">
        <v>61</v>
      </c>
      <c r="E68" s="29" t="n"/>
      <c r="F68" s="28" t="n"/>
      <c r="G68" s="28" t="n"/>
      <c r="H68" s="28" t="n"/>
      <c r="I68" s="28" t="n"/>
      <c r="J68" s="28" t="n"/>
      <c r="K68" s="30" t="n"/>
      <c r="L68" s="31" t="n"/>
      <c r="M68" s="31" t="n"/>
      <c r="N68" s="28">
        <f>IF(AND(L68&lt;&gt;"",M68&lt;&gt;""),M68-L68,"")</f>
        <v/>
      </c>
      <c r="O68" s="29" t="n"/>
      <c r="P68" s="1" t="n"/>
      <c r="Q68" s="1" t="n"/>
      <c r="R68" s="1" t="n"/>
      <c r="S68" s="1" t="n"/>
      <c r="T68" s="1" t="n"/>
    </row>
    <row r="69" ht="15.75" customHeight="1">
      <c r="A69" s="1" t="n"/>
      <c r="B69" s="1" t="n"/>
      <c r="C69" s="1" t="n"/>
      <c r="D69" s="32" t="n">
        <v>62</v>
      </c>
      <c r="E69" s="33" t="n"/>
      <c r="F69" s="32" t="n"/>
      <c r="G69" s="32" t="n"/>
      <c r="H69" s="32" t="n"/>
      <c r="I69" s="32" t="n"/>
      <c r="J69" s="32" t="n"/>
      <c r="K69" s="34" t="n"/>
      <c r="L69" s="35" t="n"/>
      <c r="M69" s="35" t="n"/>
      <c r="N69" s="32">
        <f>IF(AND(L69&lt;&gt;"",M69&lt;&gt;""),M69-L69,"")</f>
        <v/>
      </c>
      <c r="O69" s="33" t="n"/>
      <c r="P69" s="1" t="n"/>
      <c r="Q69" s="1" t="n"/>
      <c r="R69" s="1" t="n"/>
      <c r="S69" s="1" t="n"/>
      <c r="T69" s="1" t="n"/>
    </row>
    <row r="70" ht="15.75" customHeight="1">
      <c r="A70" s="1" t="n"/>
      <c r="B70" s="1" t="n"/>
      <c r="C70" s="1" t="n"/>
      <c r="D70" s="28" t="n">
        <v>63</v>
      </c>
      <c r="E70" s="29" t="n"/>
      <c r="F70" s="28" t="n"/>
      <c r="G70" s="28" t="n"/>
      <c r="H70" s="28" t="n"/>
      <c r="I70" s="28" t="n"/>
      <c r="J70" s="28" t="n"/>
      <c r="K70" s="30" t="n"/>
      <c r="L70" s="31" t="n"/>
      <c r="M70" s="31" t="n"/>
      <c r="N70" s="28">
        <f>IF(AND(L70&lt;&gt;"",M70&lt;&gt;""),M70-L70,"")</f>
        <v/>
      </c>
      <c r="O70" s="29" t="n"/>
      <c r="P70" s="1" t="n"/>
      <c r="Q70" s="1" t="n"/>
      <c r="R70" s="1" t="n"/>
      <c r="S70" s="1" t="n"/>
      <c r="T70" s="1" t="n"/>
    </row>
    <row r="71" ht="15.75" customHeight="1">
      <c r="A71" s="1" t="n"/>
      <c r="B71" s="1" t="n"/>
      <c r="C71" s="1" t="n"/>
      <c r="D71" s="32" t="n">
        <v>64</v>
      </c>
      <c r="E71" s="33" t="n"/>
      <c r="F71" s="32" t="n"/>
      <c r="G71" s="32" t="n"/>
      <c r="H71" s="32" t="n"/>
      <c r="I71" s="32" t="n"/>
      <c r="J71" s="32" t="n"/>
      <c r="K71" s="34" t="n"/>
      <c r="L71" s="35" t="n"/>
      <c r="M71" s="35" t="n"/>
      <c r="N71" s="32">
        <f>IF(AND(L71&lt;&gt;"",M71&lt;&gt;""),M71-L71,"")</f>
        <v/>
      </c>
      <c r="O71" s="33" t="n"/>
      <c r="P71" s="1" t="n"/>
      <c r="Q71" s="1" t="n"/>
      <c r="R71" s="1" t="n"/>
      <c r="S71" s="1" t="n"/>
      <c r="T71" s="1" t="n"/>
    </row>
    <row r="72" ht="15.75" customHeight="1">
      <c r="A72" s="1" t="n"/>
      <c r="B72" s="1" t="n"/>
      <c r="C72" s="1" t="n"/>
      <c r="D72" s="28" t="n">
        <v>65</v>
      </c>
      <c r="E72" s="29" t="n"/>
      <c r="F72" s="28" t="n"/>
      <c r="G72" s="28" t="n"/>
      <c r="H72" s="28" t="n"/>
      <c r="I72" s="28" t="n"/>
      <c r="J72" s="28" t="n"/>
      <c r="K72" s="30" t="n"/>
      <c r="L72" s="31" t="n"/>
      <c r="M72" s="31" t="n"/>
      <c r="N72" s="28">
        <f>IF(AND(L72&lt;&gt;"",M72&lt;&gt;""),M72-L72,"")</f>
        <v/>
      </c>
      <c r="O72" s="29" t="n"/>
      <c r="P72" s="1" t="n"/>
      <c r="Q72" s="1" t="n"/>
      <c r="R72" s="1" t="n"/>
      <c r="S72" s="1" t="n"/>
      <c r="T72" s="1" t="n"/>
    </row>
    <row r="73" ht="15.75" customHeight="1">
      <c r="A73" s="1" t="n"/>
      <c r="B73" s="1" t="n"/>
      <c r="C73" s="1" t="n"/>
      <c r="D73" s="32" t="n">
        <v>66</v>
      </c>
      <c r="E73" s="33" t="n"/>
      <c r="F73" s="32" t="n"/>
      <c r="G73" s="32" t="n"/>
      <c r="H73" s="32" t="n"/>
      <c r="I73" s="32" t="n"/>
      <c r="J73" s="32" t="n"/>
      <c r="K73" s="34" t="n"/>
      <c r="L73" s="35" t="n"/>
      <c r="M73" s="35" t="n"/>
      <c r="N73" s="32">
        <f>IF(AND(L73&lt;&gt;"",M73&lt;&gt;""),M73-L73,"")</f>
        <v/>
      </c>
      <c r="O73" s="33" t="n"/>
      <c r="P73" s="1" t="n"/>
      <c r="Q73" s="1" t="n"/>
      <c r="R73" s="1" t="n"/>
      <c r="S73" s="1" t="n"/>
      <c r="T73" s="1" t="n"/>
    </row>
    <row r="74" ht="15.75" customHeight="1">
      <c r="A74" s="1" t="n"/>
      <c r="B74" s="1" t="n"/>
      <c r="C74" s="1" t="n"/>
      <c r="D74" s="28" t="n">
        <v>67</v>
      </c>
      <c r="E74" s="29" t="n"/>
      <c r="F74" s="28" t="n"/>
      <c r="G74" s="28" t="n"/>
      <c r="H74" s="28" t="n"/>
      <c r="I74" s="28" t="n"/>
      <c r="J74" s="28" t="n"/>
      <c r="K74" s="30" t="n"/>
      <c r="L74" s="31" t="n"/>
      <c r="M74" s="31" t="n"/>
      <c r="N74" s="28">
        <f>IF(AND(L74&lt;&gt;"",M74&lt;&gt;""),M74-L74,"")</f>
        <v/>
      </c>
      <c r="O74" s="29" t="n"/>
      <c r="P74" s="1" t="n"/>
      <c r="Q74" s="1" t="n"/>
      <c r="R74" s="1" t="n"/>
      <c r="S74" s="1" t="n"/>
      <c r="T74" s="1" t="n"/>
    </row>
    <row r="75" ht="15.75" customHeight="1">
      <c r="A75" s="1" t="n"/>
      <c r="B75" s="1" t="n"/>
      <c r="C75" s="1" t="n"/>
      <c r="D75" s="32" t="n">
        <v>68</v>
      </c>
      <c r="E75" s="33" t="n"/>
      <c r="F75" s="32" t="n"/>
      <c r="G75" s="32" t="n"/>
      <c r="H75" s="32" t="n"/>
      <c r="I75" s="32" t="n"/>
      <c r="J75" s="32" t="n"/>
      <c r="K75" s="34" t="n"/>
      <c r="L75" s="35" t="n"/>
      <c r="M75" s="35" t="n"/>
      <c r="N75" s="32">
        <f>IF(AND(L75&lt;&gt;"",M75&lt;&gt;""),M75-L75,"")</f>
        <v/>
      </c>
      <c r="O75" s="33" t="n"/>
      <c r="P75" s="1" t="n"/>
      <c r="Q75" s="1" t="n"/>
      <c r="R75" s="1" t="n"/>
      <c r="S75" s="1" t="n"/>
      <c r="T75" s="1" t="n"/>
    </row>
    <row r="76" ht="15.75" customHeight="1">
      <c r="A76" s="1" t="n"/>
      <c r="B76" s="1" t="n"/>
      <c r="C76" s="1" t="n"/>
      <c r="D76" s="28" t="n">
        <v>69</v>
      </c>
      <c r="E76" s="29" t="n"/>
      <c r="F76" s="28" t="n"/>
      <c r="G76" s="28" t="n"/>
      <c r="H76" s="28" t="n"/>
      <c r="I76" s="28" t="n"/>
      <c r="J76" s="28" t="n"/>
      <c r="K76" s="30" t="n"/>
      <c r="L76" s="31" t="n"/>
      <c r="M76" s="31" t="n"/>
      <c r="N76" s="28">
        <f>IF(AND(L76&lt;&gt;"",M76&lt;&gt;""),M76-L76,"")</f>
        <v/>
      </c>
      <c r="O76" s="29" t="n"/>
      <c r="P76" s="1" t="n"/>
      <c r="Q76" s="1" t="n"/>
      <c r="R76" s="1" t="n"/>
      <c r="S76" s="1" t="n"/>
      <c r="T76" s="1" t="n"/>
    </row>
    <row r="77" ht="15.75" customHeight="1">
      <c r="A77" s="1" t="n"/>
      <c r="B77" s="1" t="n"/>
      <c r="C77" s="1" t="n"/>
      <c r="D77" s="32" t="n">
        <v>70</v>
      </c>
      <c r="E77" s="33" t="n"/>
      <c r="F77" s="32" t="n"/>
      <c r="G77" s="32" t="n"/>
      <c r="H77" s="32" t="n"/>
      <c r="I77" s="32" t="n"/>
      <c r="J77" s="32" t="n"/>
      <c r="K77" s="34" t="n"/>
      <c r="L77" s="35" t="n"/>
      <c r="M77" s="35" t="n"/>
      <c r="N77" s="32">
        <f>IF(AND(L77&lt;&gt;"",M77&lt;&gt;""),M77-L77,"")</f>
        <v/>
      </c>
      <c r="O77" s="33" t="n"/>
      <c r="P77" s="1" t="n"/>
      <c r="Q77" s="1" t="n"/>
      <c r="R77" s="1" t="n"/>
      <c r="S77" s="1" t="n"/>
      <c r="T77" s="1" t="n"/>
    </row>
    <row r="78" ht="15.75" customHeight="1">
      <c r="A78" s="1" t="n"/>
      <c r="B78" s="1" t="n"/>
      <c r="C78" s="1" t="n"/>
      <c r="D78" s="28" t="n">
        <v>71</v>
      </c>
      <c r="E78" s="29" t="n"/>
      <c r="F78" s="28" t="n"/>
      <c r="G78" s="28" t="n"/>
      <c r="H78" s="28" t="n"/>
      <c r="I78" s="28" t="n"/>
      <c r="J78" s="28" t="n"/>
      <c r="K78" s="30" t="n"/>
      <c r="L78" s="31" t="n"/>
      <c r="M78" s="31" t="n"/>
      <c r="N78" s="28">
        <f>IF(AND(L78&lt;&gt;"",M78&lt;&gt;""),M78-L78,"")</f>
        <v/>
      </c>
      <c r="O78" s="29" t="n"/>
      <c r="P78" s="1" t="n"/>
      <c r="Q78" s="1" t="n"/>
      <c r="R78" s="1" t="n"/>
      <c r="S78" s="1" t="n"/>
      <c r="T78" s="1" t="n"/>
    </row>
    <row r="79" ht="15.75" customHeight="1">
      <c r="A79" s="1" t="n"/>
      <c r="B79" s="1" t="n"/>
      <c r="C79" s="1" t="n"/>
      <c r="D79" s="32" t="n">
        <v>72</v>
      </c>
      <c r="E79" s="33" t="n"/>
      <c r="F79" s="32" t="n"/>
      <c r="G79" s="32" t="n"/>
      <c r="H79" s="32" t="n"/>
      <c r="I79" s="32" t="n"/>
      <c r="J79" s="32" t="n"/>
      <c r="K79" s="34" t="n"/>
      <c r="L79" s="35" t="n"/>
      <c r="M79" s="35" t="n"/>
      <c r="N79" s="32">
        <f>IF(AND(L79&lt;&gt;"",M79&lt;&gt;""),M79-L79,"")</f>
        <v/>
      </c>
      <c r="O79" s="33" t="n"/>
      <c r="P79" s="1" t="n"/>
      <c r="Q79" s="1" t="n"/>
      <c r="R79" s="1" t="n"/>
      <c r="S79" s="1" t="n"/>
      <c r="T79" s="1" t="n"/>
    </row>
    <row r="80" ht="15.75" customHeight="1">
      <c r="A80" s="1" t="n"/>
      <c r="B80" s="1" t="n"/>
      <c r="C80" s="1" t="n"/>
      <c r="D80" s="28" t="n">
        <v>73</v>
      </c>
      <c r="E80" s="29" t="n"/>
      <c r="F80" s="28" t="n"/>
      <c r="G80" s="28" t="n"/>
      <c r="H80" s="28" t="n"/>
      <c r="I80" s="28" t="n"/>
      <c r="J80" s="28" t="n"/>
      <c r="K80" s="30" t="n"/>
      <c r="L80" s="31" t="n"/>
      <c r="M80" s="31" t="n"/>
      <c r="N80" s="28">
        <f>IF(AND(L80&lt;&gt;"",M80&lt;&gt;""),M80-L80,"")</f>
        <v/>
      </c>
      <c r="O80" s="29" t="n"/>
      <c r="P80" s="1" t="n"/>
      <c r="Q80" s="1" t="n"/>
      <c r="R80" s="1" t="n"/>
      <c r="S80" s="1" t="n"/>
      <c r="T80" s="1" t="n"/>
    </row>
    <row r="81" ht="15.75" customHeight="1">
      <c r="A81" s="1" t="n"/>
      <c r="B81" s="1" t="n"/>
      <c r="C81" s="1" t="n"/>
      <c r="D81" s="32" t="n">
        <v>74</v>
      </c>
      <c r="E81" s="33" t="n"/>
      <c r="F81" s="32" t="n"/>
      <c r="G81" s="32" t="n"/>
      <c r="H81" s="32" t="n"/>
      <c r="I81" s="32" t="n"/>
      <c r="J81" s="32" t="n"/>
      <c r="K81" s="34" t="n"/>
      <c r="L81" s="35" t="n"/>
      <c r="M81" s="35" t="n"/>
      <c r="N81" s="32">
        <f>IF(AND(L81&lt;&gt;"",M81&lt;&gt;""),M81-L81,"")</f>
        <v/>
      </c>
      <c r="O81" s="33" t="n"/>
      <c r="P81" s="1" t="n"/>
      <c r="Q81" s="1" t="n"/>
      <c r="R81" s="1" t="n"/>
      <c r="S81" s="1" t="n"/>
      <c r="T81" s="1" t="n"/>
    </row>
    <row r="82" ht="15.75" customHeight="1">
      <c r="A82" s="1" t="n"/>
      <c r="B82" s="1" t="n"/>
      <c r="C82" s="1" t="n"/>
      <c r="D82" s="28" t="n">
        <v>75</v>
      </c>
      <c r="E82" s="29" t="n"/>
      <c r="F82" s="28" t="n"/>
      <c r="G82" s="28" t="n"/>
      <c r="H82" s="28" t="n"/>
      <c r="I82" s="28" t="n"/>
      <c r="J82" s="28" t="n"/>
      <c r="K82" s="30" t="n"/>
      <c r="L82" s="31" t="n"/>
      <c r="M82" s="31" t="n"/>
      <c r="N82" s="28">
        <f>IF(AND(L82&lt;&gt;"",M82&lt;&gt;""),M82-L82,"")</f>
        <v/>
      </c>
      <c r="O82" s="29" t="n"/>
      <c r="P82" s="1" t="n"/>
      <c r="Q82" s="1" t="n"/>
      <c r="R82" s="1" t="n"/>
      <c r="S82" s="1" t="n"/>
      <c r="T82" s="1" t="n"/>
    </row>
    <row r="83" ht="15.75" customHeight="1">
      <c r="A83" s="1" t="n"/>
      <c r="B83" s="1" t="n"/>
      <c r="C83" s="1" t="n"/>
      <c r="D83" s="32" t="n">
        <v>76</v>
      </c>
      <c r="E83" s="33" t="n"/>
      <c r="F83" s="32" t="n"/>
      <c r="G83" s="32" t="n"/>
      <c r="H83" s="32" t="n"/>
      <c r="I83" s="32" t="n"/>
      <c r="J83" s="32" t="n"/>
      <c r="K83" s="34" t="n"/>
      <c r="L83" s="35" t="n"/>
      <c r="M83" s="35" t="n"/>
      <c r="N83" s="32">
        <f>IF(AND(L83&lt;&gt;"",M83&lt;&gt;""),M83-L83,"")</f>
        <v/>
      </c>
      <c r="O83" s="33" t="n"/>
      <c r="P83" s="1" t="n"/>
      <c r="Q83" s="1" t="n"/>
      <c r="R83" s="1" t="n"/>
      <c r="S83" s="1" t="n"/>
      <c r="T83" s="1" t="n"/>
    </row>
    <row r="84" ht="15.75" customHeight="1">
      <c r="A84" s="1" t="n"/>
      <c r="B84" s="1" t="n"/>
      <c r="C84" s="1" t="n"/>
      <c r="D84" s="28" t="n">
        <v>77</v>
      </c>
      <c r="E84" s="29" t="n"/>
      <c r="F84" s="28" t="n"/>
      <c r="G84" s="28" t="n"/>
      <c r="H84" s="28" t="n"/>
      <c r="I84" s="28" t="n"/>
      <c r="J84" s="28" t="n"/>
      <c r="K84" s="30" t="n"/>
      <c r="L84" s="31" t="n"/>
      <c r="M84" s="31" t="n"/>
      <c r="N84" s="28">
        <f>IF(AND(L84&lt;&gt;"",M84&lt;&gt;""),M84-L84,"")</f>
        <v/>
      </c>
      <c r="O84" s="29" t="n"/>
      <c r="P84" s="1" t="n"/>
      <c r="Q84" s="1" t="n"/>
      <c r="R84" s="1" t="n"/>
      <c r="S84" s="1" t="n"/>
      <c r="T84" s="1" t="n"/>
    </row>
    <row r="85" ht="15.75" customHeight="1">
      <c r="A85" s="1" t="n"/>
      <c r="B85" s="1" t="n"/>
      <c r="C85" s="1" t="n"/>
      <c r="D85" s="32" t="n">
        <v>78</v>
      </c>
      <c r="E85" s="33" t="n"/>
      <c r="F85" s="32" t="n"/>
      <c r="G85" s="32" t="n"/>
      <c r="H85" s="32" t="n"/>
      <c r="I85" s="32" t="n"/>
      <c r="J85" s="32" t="n"/>
      <c r="K85" s="34" t="n"/>
      <c r="L85" s="35" t="n"/>
      <c r="M85" s="35" t="n"/>
      <c r="N85" s="32">
        <f>IF(AND(L85&lt;&gt;"",M85&lt;&gt;""),M85-L85,"")</f>
        <v/>
      </c>
      <c r="O85" s="33" t="n"/>
      <c r="P85" s="1" t="n"/>
      <c r="Q85" s="1" t="n"/>
      <c r="R85" s="1" t="n"/>
      <c r="S85" s="1" t="n"/>
      <c r="T85" s="1" t="n"/>
    </row>
    <row r="86" ht="15.75" customHeight="1">
      <c r="A86" s="1" t="n"/>
      <c r="B86" s="1" t="n"/>
      <c r="C86" s="1" t="n"/>
      <c r="D86" s="28" t="n">
        <v>79</v>
      </c>
      <c r="E86" s="29" t="n"/>
      <c r="F86" s="28" t="n"/>
      <c r="G86" s="28" t="n"/>
      <c r="H86" s="28" t="n"/>
      <c r="I86" s="28" t="n"/>
      <c r="J86" s="28" t="n"/>
      <c r="K86" s="30" t="n"/>
      <c r="L86" s="31" t="n"/>
      <c r="M86" s="31" t="n"/>
      <c r="N86" s="28">
        <f>IF(AND(L86&lt;&gt;"",M86&lt;&gt;""),M86-L86,"")</f>
        <v/>
      </c>
      <c r="O86" s="29" t="n"/>
      <c r="P86" s="1" t="n"/>
      <c r="Q86" s="1" t="n"/>
      <c r="R86" s="1" t="n"/>
      <c r="S86" s="1" t="n"/>
      <c r="T86" s="1" t="n"/>
    </row>
    <row r="87" ht="15.75" customHeight="1">
      <c r="A87" s="1" t="n"/>
      <c r="B87" s="1" t="n"/>
      <c r="C87" s="1" t="n"/>
      <c r="D87" s="32" t="n">
        <v>80</v>
      </c>
      <c r="E87" s="33" t="n"/>
      <c r="F87" s="32" t="n"/>
      <c r="G87" s="32" t="n"/>
      <c r="H87" s="32" t="n"/>
      <c r="I87" s="32" t="n"/>
      <c r="J87" s="32" t="n"/>
      <c r="K87" s="34" t="n"/>
      <c r="L87" s="35" t="n"/>
      <c r="M87" s="35" t="n"/>
      <c r="N87" s="32">
        <f>IF(AND(L87&lt;&gt;"",M87&lt;&gt;""),M87-L87,"")</f>
        <v/>
      </c>
      <c r="O87" s="33" t="n"/>
      <c r="P87" s="1" t="n"/>
      <c r="Q87" s="1" t="n"/>
      <c r="R87" s="1" t="n"/>
      <c r="S87" s="1" t="n"/>
      <c r="T87" s="1" t="n"/>
    </row>
    <row r="88" ht="15.75" customHeight="1">
      <c r="A88" s="1" t="n"/>
      <c r="B88" s="1" t="n"/>
      <c r="C88" s="1" t="n"/>
      <c r="D88" s="28" t="n">
        <v>81</v>
      </c>
      <c r="E88" s="29" t="n"/>
      <c r="F88" s="28" t="n"/>
      <c r="G88" s="28" t="n"/>
      <c r="H88" s="28" t="n"/>
      <c r="I88" s="28" t="n"/>
      <c r="J88" s="28" t="n"/>
      <c r="K88" s="30" t="n"/>
      <c r="L88" s="31" t="n"/>
      <c r="M88" s="31" t="n"/>
      <c r="N88" s="28">
        <f>IF(AND(L88&lt;&gt;"",M88&lt;&gt;""),M88-L88,"")</f>
        <v/>
      </c>
      <c r="O88" s="29" t="n"/>
      <c r="P88" s="1" t="n"/>
      <c r="Q88" s="1" t="n"/>
      <c r="R88" s="1" t="n"/>
      <c r="S88" s="1" t="n"/>
      <c r="T88" s="1" t="n"/>
    </row>
    <row r="89" ht="15.75" customHeight="1">
      <c r="A89" s="1" t="n"/>
      <c r="B89" s="1" t="n"/>
      <c r="C89" s="1" t="n"/>
      <c r="D89" s="32" t="n">
        <v>82</v>
      </c>
      <c r="E89" s="33" t="n"/>
      <c r="F89" s="32" t="n"/>
      <c r="G89" s="32" t="n"/>
      <c r="H89" s="32" t="n"/>
      <c r="I89" s="32" t="n"/>
      <c r="J89" s="32" t="n"/>
      <c r="K89" s="34" t="n"/>
      <c r="L89" s="35" t="n"/>
      <c r="M89" s="35" t="n"/>
      <c r="N89" s="32">
        <f>IF(AND(L89&lt;&gt;"",M89&lt;&gt;""),M89-L89,"")</f>
        <v/>
      </c>
      <c r="O89" s="33" t="n"/>
      <c r="P89" s="1" t="n"/>
      <c r="Q89" s="1" t="n"/>
      <c r="R89" s="1" t="n"/>
      <c r="S89" s="1" t="n"/>
      <c r="T89" s="1" t="n"/>
    </row>
    <row r="90" ht="15.75" customHeight="1">
      <c r="A90" s="1" t="n"/>
      <c r="B90" s="1" t="n"/>
      <c r="C90" s="1" t="n"/>
      <c r="D90" s="28" t="n">
        <v>83</v>
      </c>
      <c r="E90" s="29" t="n"/>
      <c r="F90" s="28" t="n"/>
      <c r="G90" s="28" t="n"/>
      <c r="H90" s="28" t="n"/>
      <c r="I90" s="28" t="n"/>
      <c r="J90" s="28" t="n"/>
      <c r="K90" s="30" t="n"/>
      <c r="L90" s="31" t="n"/>
      <c r="M90" s="31" t="n"/>
      <c r="N90" s="28">
        <f>IF(AND(L90&lt;&gt;"",M90&lt;&gt;""),M90-L90,"")</f>
        <v/>
      </c>
      <c r="O90" s="29" t="n"/>
      <c r="P90" s="1" t="n"/>
      <c r="Q90" s="1" t="n"/>
      <c r="R90" s="1" t="n"/>
      <c r="S90" s="1" t="n"/>
      <c r="T90" s="1" t="n"/>
    </row>
    <row r="91" ht="15.75" customHeight="1">
      <c r="A91" s="1" t="n"/>
      <c r="B91" s="1" t="n"/>
      <c r="C91" s="1" t="n"/>
      <c r="D91" s="32" t="n">
        <v>84</v>
      </c>
      <c r="E91" s="33" t="n"/>
      <c r="F91" s="32" t="n"/>
      <c r="G91" s="32" t="n"/>
      <c r="H91" s="32" t="n"/>
      <c r="I91" s="32" t="n"/>
      <c r="J91" s="32" t="n"/>
      <c r="K91" s="34" t="n"/>
      <c r="L91" s="35" t="n"/>
      <c r="M91" s="35" t="n"/>
      <c r="N91" s="32">
        <f>IF(AND(L91&lt;&gt;"",M91&lt;&gt;""),M91-L91,"")</f>
        <v/>
      </c>
      <c r="O91" s="33" t="n"/>
      <c r="P91" s="1" t="n"/>
      <c r="Q91" s="1" t="n"/>
      <c r="R91" s="1" t="n"/>
      <c r="S91" s="1" t="n"/>
      <c r="T91" s="1" t="n"/>
    </row>
    <row r="92" ht="15.75" customHeight="1">
      <c r="A92" s="1" t="n"/>
      <c r="B92" s="1" t="n"/>
      <c r="C92" s="1" t="n"/>
      <c r="D92" s="28" t="n">
        <v>85</v>
      </c>
      <c r="E92" s="29" t="n"/>
      <c r="F92" s="28" t="n"/>
      <c r="G92" s="28" t="n"/>
      <c r="H92" s="28" t="n"/>
      <c r="I92" s="28" t="n"/>
      <c r="J92" s="28" t="n"/>
      <c r="K92" s="30" t="n"/>
      <c r="L92" s="31" t="n"/>
      <c r="M92" s="31" t="n"/>
      <c r="N92" s="28">
        <f>IF(AND(L92&lt;&gt;"",M92&lt;&gt;""),M92-L92,"")</f>
        <v/>
      </c>
      <c r="O92" s="29" t="n"/>
      <c r="P92" s="1" t="n"/>
      <c r="Q92" s="1" t="n"/>
      <c r="R92" s="1" t="n"/>
      <c r="S92" s="1" t="n"/>
      <c r="T92" s="1" t="n"/>
    </row>
    <row r="93" ht="15.75" customHeight="1">
      <c r="A93" s="1" t="n"/>
      <c r="B93" s="1" t="n"/>
      <c r="C93" s="1" t="n"/>
      <c r="D93" s="32" t="n">
        <v>86</v>
      </c>
      <c r="E93" s="33" t="n"/>
      <c r="F93" s="32" t="n"/>
      <c r="G93" s="32" t="n"/>
      <c r="H93" s="32" t="n"/>
      <c r="I93" s="32" t="n"/>
      <c r="J93" s="32" t="n"/>
      <c r="K93" s="34" t="n"/>
      <c r="L93" s="35" t="n"/>
      <c r="M93" s="35" t="n"/>
      <c r="N93" s="32">
        <f>IF(AND(L93&lt;&gt;"",M93&lt;&gt;""),M93-L93,"")</f>
        <v/>
      </c>
      <c r="O93" s="33" t="n"/>
      <c r="P93" s="1" t="n"/>
      <c r="Q93" s="1" t="n"/>
      <c r="R93" s="1" t="n"/>
      <c r="S93" s="1" t="n"/>
      <c r="T93" s="1" t="n"/>
    </row>
    <row r="94" ht="15.75" customHeight="1">
      <c r="A94" s="1" t="n"/>
      <c r="B94" s="1" t="n"/>
      <c r="C94" s="1" t="n"/>
      <c r="D94" s="28" t="n">
        <v>87</v>
      </c>
      <c r="E94" s="29" t="n"/>
      <c r="F94" s="28" t="n"/>
      <c r="G94" s="28" t="n"/>
      <c r="H94" s="28" t="n"/>
      <c r="I94" s="28" t="n"/>
      <c r="J94" s="28" t="n"/>
      <c r="K94" s="30" t="n"/>
      <c r="L94" s="31" t="n"/>
      <c r="M94" s="31" t="n"/>
      <c r="N94" s="28">
        <f>IF(AND(L94&lt;&gt;"",M94&lt;&gt;""),M94-L94,"")</f>
        <v/>
      </c>
      <c r="O94" s="29" t="n"/>
      <c r="P94" s="1" t="n"/>
      <c r="Q94" s="1" t="n"/>
      <c r="R94" s="1" t="n"/>
      <c r="S94" s="1" t="n"/>
      <c r="T94" s="1" t="n"/>
    </row>
    <row r="95" ht="15.75" customHeight="1">
      <c r="A95" s="1" t="n"/>
      <c r="B95" s="1" t="n"/>
      <c r="C95" s="1" t="n"/>
      <c r="D95" s="32" t="n">
        <v>88</v>
      </c>
      <c r="E95" s="33" t="n"/>
      <c r="F95" s="32" t="n"/>
      <c r="G95" s="32" t="n"/>
      <c r="H95" s="32" t="n"/>
      <c r="I95" s="32" t="n"/>
      <c r="J95" s="32" t="n"/>
      <c r="K95" s="34" t="n"/>
      <c r="L95" s="35" t="n"/>
      <c r="M95" s="35" t="n"/>
      <c r="N95" s="32">
        <f>IF(AND(L95&lt;&gt;"",M95&lt;&gt;""),M95-L95,"")</f>
        <v/>
      </c>
      <c r="O95" s="33" t="n"/>
      <c r="P95" s="1" t="n"/>
      <c r="Q95" s="1" t="n"/>
      <c r="R95" s="1" t="n"/>
      <c r="S95" s="1" t="n"/>
      <c r="T95" s="1" t="n"/>
    </row>
    <row r="96" ht="15.75" customHeight="1">
      <c r="A96" s="1" t="n"/>
      <c r="B96" s="1" t="n"/>
      <c r="C96" s="1" t="n"/>
      <c r="D96" s="28" t="n">
        <v>89</v>
      </c>
      <c r="E96" s="29" t="n"/>
      <c r="F96" s="28" t="n"/>
      <c r="G96" s="28" t="n"/>
      <c r="H96" s="28" t="n"/>
      <c r="I96" s="28" t="n"/>
      <c r="J96" s="28" t="n"/>
      <c r="K96" s="30" t="n"/>
      <c r="L96" s="31" t="n"/>
      <c r="M96" s="31" t="n"/>
      <c r="N96" s="28">
        <f>IF(AND(L96&lt;&gt;"",M96&lt;&gt;""),M96-L96,"")</f>
        <v/>
      </c>
      <c r="O96" s="29" t="n"/>
      <c r="P96" s="1" t="n"/>
      <c r="Q96" s="1" t="n"/>
      <c r="R96" s="1" t="n"/>
      <c r="S96" s="1" t="n"/>
      <c r="T96" s="1" t="n"/>
    </row>
    <row r="97" ht="15.75" customHeight="1">
      <c r="A97" s="1" t="n"/>
      <c r="B97" s="1" t="n"/>
      <c r="C97" s="1" t="n"/>
      <c r="D97" s="32" t="n">
        <v>90</v>
      </c>
      <c r="E97" s="33" t="n"/>
      <c r="F97" s="32" t="n"/>
      <c r="G97" s="32" t="n"/>
      <c r="H97" s="32" t="n"/>
      <c r="I97" s="32" t="n"/>
      <c r="J97" s="32" t="n"/>
      <c r="K97" s="34" t="n"/>
      <c r="L97" s="35" t="n"/>
      <c r="M97" s="35" t="n"/>
      <c r="N97" s="32">
        <f>IF(AND(L97&lt;&gt;"",M97&lt;&gt;""),M97-L97,"")</f>
        <v/>
      </c>
      <c r="O97" s="33" t="n"/>
      <c r="P97" s="1" t="n"/>
      <c r="Q97" s="1" t="n"/>
      <c r="R97" s="1" t="n"/>
      <c r="S97" s="1" t="n"/>
      <c r="T97" s="1" t="n"/>
    </row>
    <row r="98" ht="15.75" customHeight="1">
      <c r="A98" s="1" t="n"/>
      <c r="B98" s="1" t="n"/>
      <c r="C98" s="1" t="n"/>
      <c r="D98" s="28" t="n">
        <v>91</v>
      </c>
      <c r="E98" s="29" t="n"/>
      <c r="F98" s="28" t="n"/>
      <c r="G98" s="28" t="n"/>
      <c r="H98" s="28" t="n"/>
      <c r="I98" s="28" t="n"/>
      <c r="J98" s="28" t="n"/>
      <c r="K98" s="30" t="n"/>
      <c r="L98" s="31" t="n"/>
      <c r="M98" s="31" t="n"/>
      <c r="N98" s="28">
        <f>IF(AND(L98&lt;&gt;"",M98&lt;&gt;""),M98-L98,"")</f>
        <v/>
      </c>
      <c r="O98" s="29" t="n"/>
      <c r="P98" s="1" t="n"/>
      <c r="Q98" s="1" t="n"/>
      <c r="R98" s="1" t="n"/>
      <c r="S98" s="1" t="n"/>
      <c r="T98" s="1" t="n"/>
    </row>
    <row r="99" ht="15.75" customHeight="1">
      <c r="A99" s="1" t="n"/>
      <c r="B99" s="1" t="n"/>
      <c r="C99" s="1" t="n"/>
      <c r="D99" s="32" t="n">
        <v>92</v>
      </c>
      <c r="E99" s="33" t="n"/>
      <c r="F99" s="32" t="n"/>
      <c r="G99" s="32" t="n"/>
      <c r="H99" s="32" t="n"/>
      <c r="I99" s="32" t="n"/>
      <c r="J99" s="32" t="n"/>
      <c r="K99" s="34" t="n"/>
      <c r="L99" s="35" t="n"/>
      <c r="M99" s="35" t="n"/>
      <c r="N99" s="32">
        <f>IF(AND(L99&lt;&gt;"",M99&lt;&gt;""),M99-L99,"")</f>
        <v/>
      </c>
      <c r="O99" s="33" t="n"/>
      <c r="P99" s="1" t="n"/>
      <c r="Q99" s="1" t="n"/>
      <c r="R99" s="1" t="n"/>
      <c r="S99" s="1" t="n"/>
      <c r="T99" s="1" t="n"/>
    </row>
    <row r="100" ht="15.75" customHeight="1">
      <c r="A100" s="1" t="n"/>
      <c r="B100" s="1" t="n"/>
      <c r="C100" s="1" t="n"/>
      <c r="D100" s="28" t="n">
        <v>93</v>
      </c>
      <c r="E100" s="29" t="n"/>
      <c r="F100" s="28" t="n"/>
      <c r="G100" s="28" t="n"/>
      <c r="H100" s="28" t="n"/>
      <c r="I100" s="28" t="n"/>
      <c r="J100" s="28" t="n"/>
      <c r="K100" s="30" t="n"/>
      <c r="L100" s="31" t="n"/>
      <c r="M100" s="31" t="n"/>
      <c r="N100" s="28">
        <f>IF(AND(L100&lt;&gt;"",M100&lt;&gt;""),M100-L100,"")</f>
        <v/>
      </c>
      <c r="O100" s="29" t="n"/>
      <c r="P100" s="1" t="n"/>
      <c r="Q100" s="1" t="n"/>
      <c r="R100" s="1" t="n"/>
      <c r="S100" s="1" t="n"/>
      <c r="T100" s="1" t="n"/>
    </row>
    <row r="101" ht="15.75" customHeight="1">
      <c r="A101" s="1" t="n"/>
      <c r="B101" s="1" t="n"/>
      <c r="C101" s="1" t="n"/>
      <c r="D101" s="32" t="n">
        <v>94</v>
      </c>
      <c r="E101" s="33" t="n"/>
      <c r="F101" s="32" t="n"/>
      <c r="G101" s="32" t="n"/>
      <c r="H101" s="32" t="n"/>
      <c r="I101" s="32" t="n"/>
      <c r="J101" s="32" t="n"/>
      <c r="K101" s="34" t="n"/>
      <c r="L101" s="35" t="n"/>
      <c r="M101" s="35" t="n"/>
      <c r="N101" s="32">
        <f>IF(AND(L101&lt;&gt;"",M101&lt;&gt;""),M101-L101,"")</f>
        <v/>
      </c>
      <c r="O101" s="33" t="n"/>
      <c r="P101" s="1" t="n"/>
      <c r="Q101" s="1" t="n"/>
      <c r="R101" s="1" t="n"/>
      <c r="S101" s="1" t="n"/>
      <c r="T101" s="1" t="n"/>
    </row>
    <row r="102" ht="15.75" customHeight="1">
      <c r="A102" s="1" t="n"/>
      <c r="B102" s="1" t="n"/>
      <c r="C102" s="1" t="n"/>
      <c r="D102" s="28" t="n">
        <v>95</v>
      </c>
      <c r="E102" s="29" t="n"/>
      <c r="F102" s="28" t="n"/>
      <c r="G102" s="28" t="n"/>
      <c r="H102" s="28" t="n"/>
      <c r="I102" s="28" t="n"/>
      <c r="J102" s="28" t="n"/>
      <c r="K102" s="30" t="n"/>
      <c r="L102" s="31" t="n"/>
      <c r="M102" s="31" t="n"/>
      <c r="N102" s="28">
        <f>IF(AND(L102&lt;&gt;"",M102&lt;&gt;""),M102-L102,"")</f>
        <v/>
      </c>
      <c r="O102" s="29" t="n"/>
      <c r="P102" s="1" t="n"/>
      <c r="Q102" s="1" t="n"/>
      <c r="R102" s="1" t="n"/>
      <c r="S102" s="1" t="n"/>
      <c r="T102" s="1" t="n"/>
    </row>
    <row r="103" ht="15.75" customHeight="1">
      <c r="A103" s="1" t="n"/>
      <c r="B103" s="1" t="n"/>
      <c r="C103" s="1" t="n"/>
      <c r="D103" s="32" t="n">
        <v>96</v>
      </c>
      <c r="E103" s="33" t="n"/>
      <c r="F103" s="32" t="n"/>
      <c r="G103" s="32" t="n"/>
      <c r="H103" s="32" t="n"/>
      <c r="I103" s="32" t="n"/>
      <c r="J103" s="32" t="n"/>
      <c r="K103" s="34" t="n"/>
      <c r="L103" s="35" t="n"/>
      <c r="M103" s="35" t="n"/>
      <c r="N103" s="32">
        <f>IF(AND(L103&lt;&gt;"",M103&lt;&gt;""),M103-L103,"")</f>
        <v/>
      </c>
      <c r="O103" s="33" t="n"/>
      <c r="P103" s="1" t="n"/>
      <c r="Q103" s="1" t="n"/>
      <c r="R103" s="1" t="n"/>
      <c r="S103" s="1" t="n"/>
      <c r="T103" s="1" t="n"/>
    </row>
    <row r="104" ht="15.75" customHeight="1">
      <c r="A104" s="1" t="n"/>
      <c r="B104" s="1" t="n"/>
      <c r="C104" s="1" t="n"/>
      <c r="D104" s="28" t="n">
        <v>97</v>
      </c>
      <c r="E104" s="29" t="n"/>
      <c r="F104" s="28" t="n"/>
      <c r="G104" s="28" t="n"/>
      <c r="H104" s="28" t="n"/>
      <c r="I104" s="28" t="n"/>
      <c r="J104" s="28" t="n"/>
      <c r="K104" s="30" t="n"/>
      <c r="L104" s="31" t="n"/>
      <c r="M104" s="31" t="n"/>
      <c r="N104" s="28">
        <f>IF(AND(L104&lt;&gt;"",M104&lt;&gt;""),M104-L104,"")</f>
        <v/>
      </c>
      <c r="O104" s="29" t="n"/>
      <c r="P104" s="1" t="n"/>
      <c r="Q104" s="1" t="n"/>
      <c r="R104" s="1" t="n"/>
      <c r="S104" s="1" t="n"/>
      <c r="T104" s="1" t="n"/>
    </row>
    <row r="105" ht="15.75" customHeight="1">
      <c r="A105" s="1" t="n"/>
      <c r="B105" s="1" t="n"/>
      <c r="C105" s="1" t="n"/>
      <c r="D105" s="32" t="n">
        <v>98</v>
      </c>
      <c r="E105" s="33" t="n"/>
      <c r="F105" s="32" t="n"/>
      <c r="G105" s="32" t="n"/>
      <c r="H105" s="32" t="n"/>
      <c r="I105" s="32" t="n"/>
      <c r="J105" s="32" t="n"/>
      <c r="K105" s="34" t="n"/>
      <c r="L105" s="35" t="n"/>
      <c r="M105" s="35" t="n"/>
      <c r="N105" s="32">
        <f>IF(AND(L105&lt;&gt;"",M105&lt;&gt;""),M105-L105,"")</f>
        <v/>
      </c>
      <c r="O105" s="33" t="n"/>
      <c r="P105" s="1" t="n"/>
      <c r="Q105" s="1" t="n"/>
      <c r="R105" s="1" t="n"/>
      <c r="S105" s="1" t="n"/>
      <c r="T105" s="1" t="n"/>
    </row>
    <row r="106" ht="15.75" customHeight="1">
      <c r="A106" s="1" t="n"/>
      <c r="B106" s="1" t="n"/>
      <c r="C106" s="1" t="n"/>
      <c r="D106" s="28" t="n">
        <v>99</v>
      </c>
      <c r="E106" s="29" t="n"/>
      <c r="F106" s="28" t="n"/>
      <c r="G106" s="28" t="n"/>
      <c r="H106" s="28" t="n"/>
      <c r="I106" s="28" t="n"/>
      <c r="J106" s="28" t="n"/>
      <c r="K106" s="30" t="n"/>
      <c r="L106" s="31" t="n"/>
      <c r="M106" s="31" t="n"/>
      <c r="N106" s="28">
        <f>IF(AND(L106&lt;&gt;"",M106&lt;&gt;""),M106-L106,"")</f>
        <v/>
      </c>
      <c r="O106" s="29" t="n"/>
      <c r="P106" s="1" t="n"/>
      <c r="Q106" s="1" t="n"/>
      <c r="R106" s="1" t="n"/>
      <c r="S106" s="1" t="n"/>
      <c r="T106" s="1" t="n"/>
    </row>
    <row r="107" ht="15.75" customHeight="1">
      <c r="A107" s="1" t="n"/>
      <c r="B107" s="1" t="n"/>
      <c r="C107" s="1" t="n"/>
      <c r="D107" s="32" t="n">
        <v>100</v>
      </c>
      <c r="E107" s="33" t="n"/>
      <c r="F107" s="32" t="n"/>
      <c r="G107" s="32" t="n"/>
      <c r="H107" s="32" t="n"/>
      <c r="I107" s="32" t="n"/>
      <c r="J107" s="32" t="n"/>
      <c r="K107" s="34" t="n"/>
      <c r="L107" s="35" t="n"/>
      <c r="M107" s="35" t="n"/>
      <c r="N107" s="32">
        <f>IF(AND(L107&lt;&gt;"",M107&lt;&gt;""),M107-L107,"")</f>
        <v/>
      </c>
      <c r="O107" s="33" t="n"/>
      <c r="P107" s="1" t="n"/>
      <c r="Q107" s="1" t="n"/>
      <c r="R107" s="1" t="n"/>
      <c r="S107" s="1" t="n"/>
      <c r="T107" s="1" t="n"/>
    </row>
    <row r="108" ht="15.75" customHeight="1">
      <c r="A108" s="1" t="n"/>
      <c r="B108" s="1" t="n"/>
      <c r="C108" s="1" t="n"/>
      <c r="D108" s="28" t="n">
        <v>101</v>
      </c>
      <c r="E108" s="29" t="n"/>
      <c r="F108" s="28" t="n"/>
      <c r="G108" s="28" t="n"/>
      <c r="H108" s="28" t="n"/>
      <c r="I108" s="28" t="n"/>
      <c r="J108" s="28" t="n"/>
      <c r="K108" s="30" t="n"/>
      <c r="L108" s="31" t="n"/>
      <c r="M108" s="31" t="n"/>
      <c r="N108" s="28">
        <f>IF(AND(L108&lt;&gt;"",M108&lt;&gt;""),M108-L108,"")</f>
        <v/>
      </c>
      <c r="O108" s="29" t="n"/>
      <c r="P108" s="1" t="n"/>
      <c r="Q108" s="1" t="n"/>
      <c r="R108" s="1" t="n"/>
      <c r="S108" s="1" t="n"/>
      <c r="T108" s="1" t="n"/>
    </row>
    <row r="109" ht="15.75" customHeight="1">
      <c r="A109" s="1" t="n"/>
      <c r="B109" s="1" t="n"/>
      <c r="C109" s="1" t="n"/>
      <c r="D109" s="32" t="n">
        <v>102</v>
      </c>
      <c r="E109" s="33" t="n"/>
      <c r="F109" s="32" t="n"/>
      <c r="G109" s="32" t="n"/>
      <c r="H109" s="32" t="n"/>
      <c r="I109" s="32" t="n"/>
      <c r="J109" s="32" t="n"/>
      <c r="K109" s="34" t="n"/>
      <c r="L109" s="35" t="n"/>
      <c r="M109" s="35" t="n"/>
      <c r="N109" s="32">
        <f>IF(AND(L109&lt;&gt;"",M109&lt;&gt;""),M109-L109,"")</f>
        <v/>
      </c>
      <c r="O109" s="33" t="n"/>
      <c r="P109" s="1" t="n"/>
      <c r="Q109" s="1" t="n"/>
      <c r="R109" s="1" t="n"/>
      <c r="S109" s="1" t="n"/>
      <c r="T109" s="1" t="n"/>
    </row>
    <row r="110" ht="15.75" customHeight="1">
      <c r="A110" s="1" t="n"/>
      <c r="B110" s="1" t="n"/>
      <c r="C110" s="1" t="n"/>
      <c r="D110" s="28" t="n">
        <v>103</v>
      </c>
      <c r="E110" s="29" t="n"/>
      <c r="F110" s="28" t="n"/>
      <c r="G110" s="28" t="n"/>
      <c r="H110" s="28" t="n"/>
      <c r="I110" s="28" t="n"/>
      <c r="J110" s="28" t="n"/>
      <c r="K110" s="30" t="n"/>
      <c r="L110" s="31" t="n"/>
      <c r="M110" s="31" t="n"/>
      <c r="N110" s="28">
        <f>IF(AND(L110&lt;&gt;"",M110&lt;&gt;""),M110-L110,"")</f>
        <v/>
      </c>
      <c r="O110" s="29" t="n"/>
      <c r="P110" s="1" t="n"/>
      <c r="Q110" s="1" t="n"/>
      <c r="R110" s="1" t="n"/>
      <c r="S110" s="1" t="n"/>
      <c r="T110" s="1" t="n"/>
    </row>
    <row r="111" ht="15.75" customHeight="1">
      <c r="A111" s="1" t="n"/>
      <c r="B111" s="1" t="n"/>
      <c r="C111" s="1" t="n"/>
      <c r="D111" s="32" t="n">
        <v>104</v>
      </c>
      <c r="E111" s="33" t="n"/>
      <c r="F111" s="32" t="n"/>
      <c r="G111" s="32" t="n"/>
      <c r="H111" s="32" t="n"/>
      <c r="I111" s="32" t="n"/>
      <c r="J111" s="32" t="n"/>
      <c r="K111" s="34" t="n"/>
      <c r="L111" s="35" t="n"/>
      <c r="M111" s="35" t="n"/>
      <c r="N111" s="32">
        <f>IF(AND(L111&lt;&gt;"",M111&lt;&gt;""),M111-L111,"")</f>
        <v/>
      </c>
      <c r="O111" s="33" t="n"/>
      <c r="P111" s="1" t="n"/>
      <c r="Q111" s="1" t="n"/>
      <c r="R111" s="1" t="n"/>
      <c r="S111" s="1" t="n"/>
      <c r="T111" s="1" t="n"/>
    </row>
    <row r="112" ht="15.75" customHeight="1">
      <c r="A112" s="1" t="n"/>
      <c r="B112" s="1" t="n"/>
      <c r="C112" s="1" t="n"/>
      <c r="D112" s="28" t="n">
        <v>105</v>
      </c>
      <c r="E112" s="29" t="n"/>
      <c r="F112" s="28" t="n"/>
      <c r="G112" s="28" t="n"/>
      <c r="H112" s="28" t="n"/>
      <c r="I112" s="28" t="n"/>
      <c r="J112" s="28" t="n"/>
      <c r="K112" s="30" t="n"/>
      <c r="L112" s="31" t="n"/>
      <c r="M112" s="31" t="n"/>
      <c r="N112" s="28">
        <f>IF(AND(L112&lt;&gt;"",M112&lt;&gt;""),M112-L112,"")</f>
        <v/>
      </c>
      <c r="O112" s="29" t="n"/>
      <c r="P112" s="1" t="n"/>
      <c r="Q112" s="1" t="n"/>
      <c r="R112" s="1" t="n"/>
      <c r="S112" s="1" t="n"/>
      <c r="T112" s="1" t="n"/>
    </row>
    <row r="113" ht="15.75" customHeight="1">
      <c r="A113" s="1" t="n"/>
      <c r="B113" s="1" t="n"/>
      <c r="C113" s="1" t="n"/>
      <c r="D113" s="32" t="n">
        <v>106</v>
      </c>
      <c r="E113" s="33" t="n"/>
      <c r="F113" s="32" t="n"/>
      <c r="G113" s="32" t="n"/>
      <c r="H113" s="32" t="n"/>
      <c r="I113" s="32" t="n"/>
      <c r="J113" s="32" t="n"/>
      <c r="K113" s="34" t="n"/>
      <c r="L113" s="35" t="n"/>
      <c r="M113" s="35" t="n"/>
      <c r="N113" s="32">
        <f>IF(AND(L113&lt;&gt;"",M113&lt;&gt;""),M113-L113,"")</f>
        <v/>
      </c>
      <c r="O113" s="33" t="n"/>
      <c r="P113" s="1" t="n"/>
      <c r="Q113" s="1" t="n"/>
      <c r="R113" s="1" t="n"/>
      <c r="S113" s="1" t="n"/>
      <c r="T113" s="1" t="n"/>
    </row>
    <row r="114" ht="15.75" customHeight="1">
      <c r="A114" s="1" t="n"/>
      <c r="B114" s="1" t="n"/>
      <c r="C114" s="1" t="n"/>
      <c r="D114" s="28" t="n">
        <v>107</v>
      </c>
      <c r="E114" s="29" t="n"/>
      <c r="F114" s="28" t="n"/>
      <c r="G114" s="28" t="n"/>
      <c r="H114" s="28" t="n"/>
      <c r="I114" s="28" t="n"/>
      <c r="J114" s="28" t="n"/>
      <c r="K114" s="30" t="n"/>
      <c r="L114" s="31" t="n"/>
      <c r="M114" s="31" t="n"/>
      <c r="N114" s="28">
        <f>IF(AND(L114&lt;&gt;"",M114&lt;&gt;""),M114-L114,"")</f>
        <v/>
      </c>
      <c r="O114" s="29" t="n"/>
      <c r="P114" s="1" t="n"/>
      <c r="Q114" s="1" t="n"/>
      <c r="R114" s="1" t="n"/>
      <c r="S114" s="1" t="n"/>
      <c r="T114" s="1" t="n"/>
    </row>
    <row r="115" ht="15.75" customHeight="1">
      <c r="A115" s="1" t="n"/>
      <c r="B115" s="1" t="n"/>
      <c r="C115" s="1" t="n"/>
      <c r="D115" s="32" t="n">
        <v>108</v>
      </c>
      <c r="E115" s="33" t="n"/>
      <c r="F115" s="32" t="n"/>
      <c r="G115" s="32" t="n"/>
      <c r="H115" s="32" t="n"/>
      <c r="I115" s="32" t="n"/>
      <c r="J115" s="32" t="n"/>
      <c r="K115" s="34" t="n"/>
      <c r="L115" s="35" t="n"/>
      <c r="M115" s="35" t="n"/>
      <c r="N115" s="32">
        <f>IF(AND(L115&lt;&gt;"",M115&lt;&gt;""),M115-L115,"")</f>
        <v/>
      </c>
      <c r="O115" s="33" t="n"/>
      <c r="P115" s="1" t="n"/>
      <c r="Q115" s="1" t="n"/>
      <c r="R115" s="1" t="n"/>
      <c r="S115" s="1" t="n"/>
      <c r="T115" s="1" t="n"/>
    </row>
    <row r="116" ht="15.75" customHeight="1">
      <c r="A116" s="1" t="n"/>
      <c r="B116" s="1" t="n"/>
      <c r="C116" s="1" t="n"/>
      <c r="D116" s="28" t="n">
        <v>109</v>
      </c>
      <c r="E116" s="29" t="n"/>
      <c r="F116" s="28" t="n"/>
      <c r="G116" s="28" t="n"/>
      <c r="H116" s="28" t="n"/>
      <c r="I116" s="28" t="n"/>
      <c r="J116" s="28" t="n"/>
      <c r="K116" s="30" t="n"/>
      <c r="L116" s="31" t="n"/>
      <c r="M116" s="31" t="n"/>
      <c r="N116" s="28">
        <f>IF(AND(L116&lt;&gt;"",M116&lt;&gt;""),M116-L116,"")</f>
        <v/>
      </c>
      <c r="O116" s="29" t="n"/>
      <c r="P116" s="1" t="n"/>
      <c r="Q116" s="1" t="n"/>
      <c r="R116" s="1" t="n"/>
      <c r="S116" s="1" t="n"/>
      <c r="T116" s="1" t="n"/>
    </row>
    <row r="117" ht="15.75" customHeight="1">
      <c r="A117" s="1" t="n"/>
      <c r="B117" s="1" t="n"/>
      <c r="C117" s="1" t="n"/>
      <c r="D117" s="32" t="n">
        <v>110</v>
      </c>
      <c r="E117" s="33" t="n"/>
      <c r="F117" s="32" t="n"/>
      <c r="G117" s="32" t="n"/>
      <c r="H117" s="32" t="n"/>
      <c r="I117" s="32" t="n"/>
      <c r="J117" s="32" t="n"/>
      <c r="K117" s="34" t="n"/>
      <c r="L117" s="35" t="n"/>
      <c r="M117" s="35" t="n"/>
      <c r="N117" s="32">
        <f>IF(AND(L117&lt;&gt;"",M117&lt;&gt;""),M117-L117,"")</f>
        <v/>
      </c>
      <c r="O117" s="33" t="n"/>
      <c r="P117" s="1" t="n"/>
      <c r="Q117" s="1" t="n"/>
      <c r="R117" s="1" t="n"/>
      <c r="S117" s="1" t="n"/>
      <c r="T117" s="1" t="n"/>
    </row>
    <row r="118" ht="15.75" customHeight="1">
      <c r="A118" s="1" t="n"/>
      <c r="B118" s="1" t="n"/>
      <c r="C118" s="1" t="n"/>
      <c r="D118" s="28" t="n">
        <v>111</v>
      </c>
      <c r="E118" s="29" t="n"/>
      <c r="F118" s="28" t="n"/>
      <c r="G118" s="28" t="n"/>
      <c r="H118" s="28" t="n"/>
      <c r="I118" s="28" t="n"/>
      <c r="J118" s="28" t="n"/>
      <c r="K118" s="30" t="n"/>
      <c r="L118" s="31" t="n"/>
      <c r="M118" s="31" t="n"/>
      <c r="N118" s="28">
        <f>IF(AND(L118&lt;&gt;"",M118&lt;&gt;""),M118-L118,"")</f>
        <v/>
      </c>
      <c r="O118" s="29" t="n"/>
      <c r="P118" s="1" t="n"/>
      <c r="Q118" s="1" t="n"/>
      <c r="R118" s="1" t="n"/>
      <c r="S118" s="1" t="n"/>
      <c r="T118" s="1" t="n"/>
    </row>
    <row r="119" ht="15.75" customHeight="1">
      <c r="A119" s="1" t="n"/>
      <c r="B119" s="1" t="n"/>
      <c r="C119" s="1" t="n"/>
      <c r="D119" s="32" t="n">
        <v>112</v>
      </c>
      <c r="E119" s="33" t="n"/>
      <c r="F119" s="32" t="n"/>
      <c r="G119" s="32" t="n"/>
      <c r="H119" s="32" t="n"/>
      <c r="I119" s="32" t="n"/>
      <c r="J119" s="32" t="n"/>
      <c r="K119" s="34" t="n"/>
      <c r="L119" s="35" t="n"/>
      <c r="M119" s="35" t="n"/>
      <c r="N119" s="32">
        <f>IF(AND(L119&lt;&gt;"",M119&lt;&gt;""),M119-L119,"")</f>
        <v/>
      </c>
      <c r="O119" s="33" t="n"/>
      <c r="P119" s="1" t="n"/>
      <c r="Q119" s="1" t="n"/>
      <c r="R119" s="1" t="n"/>
      <c r="S119" s="1" t="n"/>
      <c r="T119" s="1" t="n"/>
    </row>
    <row r="120" ht="15.75" customHeight="1">
      <c r="A120" s="1" t="n"/>
      <c r="B120" s="1" t="n"/>
      <c r="C120" s="1" t="n"/>
      <c r="D120" s="28" t="n">
        <v>113</v>
      </c>
      <c r="E120" s="29" t="n"/>
      <c r="F120" s="28" t="n"/>
      <c r="G120" s="28" t="n"/>
      <c r="H120" s="28" t="n"/>
      <c r="I120" s="28" t="n"/>
      <c r="J120" s="28" t="n"/>
      <c r="K120" s="30" t="n"/>
      <c r="L120" s="31" t="n"/>
      <c r="M120" s="31" t="n"/>
      <c r="N120" s="28">
        <f>IF(AND(L120&lt;&gt;"",M120&lt;&gt;""),M120-L120,"")</f>
        <v/>
      </c>
      <c r="O120" s="29" t="n"/>
      <c r="P120" s="1" t="n"/>
      <c r="Q120" s="1" t="n"/>
      <c r="R120" s="1" t="n"/>
      <c r="S120" s="1" t="n"/>
      <c r="T120" s="1" t="n"/>
    </row>
    <row r="121" ht="15.75" customHeight="1">
      <c r="A121" s="1" t="n"/>
      <c r="B121" s="1" t="n"/>
      <c r="C121" s="1" t="n"/>
      <c r="D121" s="32" t="n">
        <v>114</v>
      </c>
      <c r="E121" s="33" t="n"/>
      <c r="F121" s="32" t="n"/>
      <c r="G121" s="32" t="n"/>
      <c r="H121" s="32" t="n"/>
      <c r="I121" s="32" t="n"/>
      <c r="J121" s="32" t="n"/>
      <c r="K121" s="34" t="n"/>
      <c r="L121" s="35" t="n"/>
      <c r="M121" s="35" t="n"/>
      <c r="N121" s="32">
        <f>IF(AND(L121&lt;&gt;"",M121&lt;&gt;""),M121-L121,"")</f>
        <v/>
      </c>
      <c r="O121" s="33" t="n"/>
      <c r="P121" s="1" t="n"/>
      <c r="Q121" s="1" t="n"/>
      <c r="R121" s="1" t="n"/>
      <c r="S121" s="1" t="n"/>
      <c r="T121" s="1" t="n"/>
    </row>
    <row r="122" ht="15.75" customHeight="1">
      <c r="A122" s="1" t="n"/>
      <c r="B122" s="1" t="n"/>
      <c r="C122" s="1" t="n"/>
      <c r="D122" s="28" t="n">
        <v>115</v>
      </c>
      <c r="E122" s="29" t="n"/>
      <c r="F122" s="28" t="n"/>
      <c r="G122" s="28" t="n"/>
      <c r="H122" s="28" t="n"/>
      <c r="I122" s="28" t="n"/>
      <c r="J122" s="28" t="n"/>
      <c r="K122" s="30" t="n"/>
      <c r="L122" s="31" t="n"/>
      <c r="M122" s="31" t="n"/>
      <c r="N122" s="28">
        <f>IF(AND(L122&lt;&gt;"",M122&lt;&gt;""),M122-L122,"")</f>
        <v/>
      </c>
      <c r="O122" s="29" t="n"/>
      <c r="P122" s="1" t="n"/>
      <c r="Q122" s="1" t="n"/>
      <c r="R122" s="1" t="n"/>
      <c r="S122" s="1" t="n"/>
      <c r="T122" s="1" t="n"/>
    </row>
    <row r="123" ht="15.75" customHeight="1">
      <c r="A123" s="1" t="n"/>
      <c r="B123" s="1" t="n"/>
      <c r="C123" s="1" t="n"/>
      <c r="D123" s="32" t="n">
        <v>116</v>
      </c>
      <c r="E123" s="33" t="n"/>
      <c r="F123" s="32" t="n"/>
      <c r="G123" s="32" t="n"/>
      <c r="H123" s="32" t="n"/>
      <c r="I123" s="32" t="n"/>
      <c r="J123" s="32" t="n"/>
      <c r="K123" s="34" t="n"/>
      <c r="L123" s="35" t="n"/>
      <c r="M123" s="35" t="n"/>
      <c r="N123" s="32">
        <f>IF(AND(L123&lt;&gt;"",M123&lt;&gt;""),M123-L123,"")</f>
        <v/>
      </c>
      <c r="O123" s="33" t="n"/>
      <c r="P123" s="1" t="n"/>
      <c r="Q123" s="1" t="n"/>
      <c r="R123" s="1" t="n"/>
      <c r="S123" s="1" t="n"/>
      <c r="T123" s="1" t="n"/>
    </row>
    <row r="124" ht="15.75" customHeight="1">
      <c r="A124" s="1" t="n"/>
      <c r="B124" s="1" t="n"/>
      <c r="C124" s="1" t="n"/>
      <c r="D124" s="28" t="n">
        <v>117</v>
      </c>
      <c r="E124" s="29" t="n"/>
      <c r="F124" s="28" t="n"/>
      <c r="G124" s="28" t="n"/>
      <c r="H124" s="28" t="n"/>
      <c r="I124" s="28" t="n"/>
      <c r="J124" s="28" t="n"/>
      <c r="K124" s="30" t="n"/>
      <c r="L124" s="31" t="n"/>
      <c r="M124" s="31" t="n"/>
      <c r="N124" s="28">
        <f>IF(AND(L124&lt;&gt;"",M124&lt;&gt;""),M124-L124,"")</f>
        <v/>
      </c>
      <c r="O124" s="29" t="n"/>
      <c r="P124" s="1" t="n"/>
      <c r="Q124" s="1" t="n"/>
      <c r="R124" s="1" t="n"/>
      <c r="S124" s="1" t="n"/>
      <c r="T124" s="1" t="n"/>
    </row>
    <row r="125" ht="15.75" customHeight="1">
      <c r="A125" s="1" t="n"/>
      <c r="B125" s="1" t="n"/>
      <c r="C125" s="1" t="n"/>
      <c r="D125" s="32" t="n">
        <v>118</v>
      </c>
      <c r="E125" s="33" t="n"/>
      <c r="F125" s="32" t="n"/>
      <c r="G125" s="32" t="n"/>
      <c r="H125" s="32" t="n"/>
      <c r="I125" s="32" t="n"/>
      <c r="J125" s="32" t="n"/>
      <c r="K125" s="34" t="n"/>
      <c r="L125" s="35" t="n"/>
      <c r="M125" s="35" t="n"/>
      <c r="N125" s="32">
        <f>IF(AND(L125&lt;&gt;"",M125&lt;&gt;""),M125-L125,"")</f>
        <v/>
      </c>
      <c r="O125" s="33" t="n"/>
      <c r="P125" s="1" t="n"/>
      <c r="Q125" s="1" t="n"/>
      <c r="R125" s="1" t="n"/>
      <c r="S125" s="1" t="n"/>
      <c r="T125" s="1" t="n"/>
    </row>
    <row r="126" ht="15.75" customHeight="1">
      <c r="A126" s="1" t="n"/>
      <c r="B126" s="1" t="n"/>
      <c r="C126" s="1" t="n"/>
      <c r="D126" s="28" t="n">
        <v>119</v>
      </c>
      <c r="E126" s="29" t="n"/>
      <c r="F126" s="28" t="n"/>
      <c r="G126" s="28" t="n"/>
      <c r="H126" s="28" t="n"/>
      <c r="I126" s="28" t="n"/>
      <c r="J126" s="28" t="n"/>
      <c r="K126" s="30" t="n"/>
      <c r="L126" s="31" t="n"/>
      <c r="M126" s="31" t="n"/>
      <c r="N126" s="28">
        <f>IF(AND(L126&lt;&gt;"",M126&lt;&gt;""),M126-L126,"")</f>
        <v/>
      </c>
      <c r="O126" s="29" t="n"/>
      <c r="P126" s="1" t="n"/>
      <c r="Q126" s="1" t="n"/>
      <c r="R126" s="1" t="n"/>
      <c r="S126" s="1" t="n"/>
      <c r="T126" s="1" t="n"/>
    </row>
    <row r="127" ht="15.75" customHeight="1">
      <c r="A127" s="1" t="n"/>
      <c r="B127" s="1" t="n"/>
      <c r="C127" s="1" t="n"/>
      <c r="D127" s="32" t="n">
        <v>120</v>
      </c>
      <c r="E127" s="33" t="n"/>
      <c r="F127" s="32" t="n"/>
      <c r="G127" s="32" t="n"/>
      <c r="H127" s="32" t="n"/>
      <c r="I127" s="32" t="n"/>
      <c r="J127" s="32" t="n"/>
      <c r="K127" s="34" t="n"/>
      <c r="L127" s="35" t="n"/>
      <c r="M127" s="35" t="n"/>
      <c r="N127" s="32">
        <f>IF(AND(L127&lt;&gt;"",M127&lt;&gt;""),M127-L127,"")</f>
        <v/>
      </c>
      <c r="O127" s="33" t="n"/>
      <c r="P127" s="1" t="n"/>
      <c r="Q127" s="1" t="n"/>
      <c r="R127" s="1" t="n"/>
      <c r="S127" s="1" t="n"/>
      <c r="T127" s="1" t="n"/>
    </row>
    <row r="128" ht="15.75" customHeight="1">
      <c r="A128" s="1" t="n"/>
      <c r="B128" s="1" t="n"/>
      <c r="C128" s="1" t="n"/>
      <c r="D128" s="28" t="n">
        <v>121</v>
      </c>
      <c r="E128" s="29" t="n"/>
      <c r="F128" s="28" t="n"/>
      <c r="G128" s="28" t="n"/>
      <c r="H128" s="28" t="n"/>
      <c r="I128" s="28" t="n"/>
      <c r="J128" s="28" t="n"/>
      <c r="K128" s="30" t="n"/>
      <c r="L128" s="31" t="n"/>
      <c r="M128" s="31" t="n"/>
      <c r="N128" s="28">
        <f>IF(AND(L128&lt;&gt;"",M128&lt;&gt;""),M128-L128,"")</f>
        <v/>
      </c>
      <c r="O128" s="29" t="n"/>
      <c r="P128" s="1" t="n"/>
      <c r="Q128" s="1" t="n"/>
      <c r="R128" s="1" t="n"/>
      <c r="S128" s="1" t="n"/>
      <c r="T128" s="1" t="n"/>
    </row>
    <row r="129" ht="15.75" customHeight="1">
      <c r="A129" s="1" t="n"/>
      <c r="B129" s="1" t="n"/>
      <c r="C129" s="1" t="n"/>
      <c r="D129" s="32" t="n">
        <v>122</v>
      </c>
      <c r="E129" s="33" t="n"/>
      <c r="F129" s="32" t="n"/>
      <c r="G129" s="32" t="n"/>
      <c r="H129" s="32" t="n"/>
      <c r="I129" s="32" t="n"/>
      <c r="J129" s="32" t="n"/>
      <c r="K129" s="34" t="n"/>
      <c r="L129" s="35" t="n"/>
      <c r="M129" s="35" t="n"/>
      <c r="N129" s="32">
        <f>IF(AND(L129&lt;&gt;"",M129&lt;&gt;""),M129-L129,"")</f>
        <v/>
      </c>
      <c r="O129" s="33" t="n"/>
      <c r="P129" s="1" t="n"/>
      <c r="Q129" s="1" t="n"/>
      <c r="R129" s="1" t="n"/>
      <c r="S129" s="1" t="n"/>
      <c r="T129" s="1" t="n"/>
    </row>
    <row r="130" ht="15.75" customHeight="1">
      <c r="A130" s="1" t="n"/>
      <c r="B130" s="1" t="n"/>
      <c r="C130" s="1" t="n"/>
      <c r="D130" s="28" t="n">
        <v>123</v>
      </c>
      <c r="E130" s="29" t="n"/>
      <c r="F130" s="28" t="n"/>
      <c r="G130" s="28" t="n"/>
      <c r="H130" s="28" t="n"/>
      <c r="I130" s="28" t="n"/>
      <c r="J130" s="28" t="n"/>
      <c r="K130" s="30" t="n"/>
      <c r="L130" s="31" t="n"/>
      <c r="M130" s="31" t="n"/>
      <c r="N130" s="28">
        <f>IF(AND(L130&lt;&gt;"",M130&lt;&gt;""),M130-L130,"")</f>
        <v/>
      </c>
      <c r="O130" s="29" t="n"/>
      <c r="P130" s="1" t="n"/>
      <c r="Q130" s="1" t="n"/>
      <c r="R130" s="1" t="n"/>
      <c r="S130" s="1" t="n"/>
      <c r="T130" s="1" t="n"/>
    </row>
    <row r="131" ht="15.75" customHeight="1">
      <c r="A131" s="1" t="n"/>
      <c r="B131" s="1" t="n"/>
      <c r="C131" s="1" t="n"/>
      <c r="D131" s="32" t="n">
        <v>124</v>
      </c>
      <c r="E131" s="33" t="n"/>
      <c r="F131" s="32" t="n"/>
      <c r="G131" s="32" t="n"/>
      <c r="H131" s="32" t="n"/>
      <c r="I131" s="32" t="n"/>
      <c r="J131" s="32" t="n"/>
      <c r="K131" s="34" t="n"/>
      <c r="L131" s="35" t="n"/>
      <c r="M131" s="35" t="n"/>
      <c r="N131" s="32">
        <f>IF(AND(L131&lt;&gt;"",M131&lt;&gt;""),M131-L131,"")</f>
        <v/>
      </c>
      <c r="O131" s="33" t="n"/>
      <c r="P131" s="1" t="n"/>
      <c r="Q131" s="1" t="n"/>
      <c r="R131" s="1" t="n"/>
      <c r="S131" s="1" t="n"/>
      <c r="T131" s="1" t="n"/>
    </row>
    <row r="132" ht="15.75" customHeight="1">
      <c r="A132" s="1" t="n"/>
      <c r="B132" s="1" t="n"/>
      <c r="C132" s="1" t="n"/>
      <c r="D132" s="28" t="n">
        <v>125</v>
      </c>
      <c r="E132" s="29" t="n"/>
      <c r="F132" s="28" t="n"/>
      <c r="G132" s="28" t="n"/>
      <c r="H132" s="28" t="n"/>
      <c r="I132" s="28" t="n"/>
      <c r="J132" s="28" t="n"/>
      <c r="K132" s="30" t="n"/>
      <c r="L132" s="31" t="n"/>
      <c r="M132" s="31" t="n"/>
      <c r="N132" s="28">
        <f>IF(AND(L132&lt;&gt;"",M132&lt;&gt;""),M132-L132,"")</f>
        <v/>
      </c>
      <c r="O132" s="29" t="n"/>
      <c r="P132" s="1" t="n"/>
      <c r="Q132" s="1" t="n"/>
      <c r="R132" s="1" t="n"/>
      <c r="S132" s="1" t="n"/>
      <c r="T132" s="1" t="n"/>
    </row>
    <row r="133" ht="15.75" customHeight="1">
      <c r="A133" s="1" t="n"/>
      <c r="B133" s="1" t="n"/>
      <c r="C133" s="1" t="n"/>
      <c r="D133" s="32" t="n">
        <v>126</v>
      </c>
      <c r="E133" s="33" t="n"/>
      <c r="F133" s="32" t="n"/>
      <c r="G133" s="32" t="n"/>
      <c r="H133" s="32" t="n"/>
      <c r="I133" s="32" t="n"/>
      <c r="J133" s="32" t="n"/>
      <c r="K133" s="34" t="n"/>
      <c r="L133" s="35" t="n"/>
      <c r="M133" s="35" t="n"/>
      <c r="N133" s="32">
        <f>IF(AND(L133&lt;&gt;"",M133&lt;&gt;""),M133-L133,"")</f>
        <v/>
      </c>
      <c r="O133" s="33" t="n"/>
      <c r="P133" s="1" t="n"/>
      <c r="Q133" s="1" t="n"/>
      <c r="R133" s="1" t="n"/>
      <c r="S133" s="1" t="n"/>
      <c r="T133" s="1" t="n"/>
    </row>
    <row r="134" ht="15.75" customHeight="1">
      <c r="A134" s="1" t="n"/>
      <c r="B134" s="1" t="n"/>
      <c r="C134" s="1" t="n"/>
      <c r="D134" s="28" t="n">
        <v>127</v>
      </c>
      <c r="E134" s="29" t="n"/>
      <c r="F134" s="28" t="n"/>
      <c r="G134" s="28" t="n"/>
      <c r="H134" s="28" t="n"/>
      <c r="I134" s="28" t="n"/>
      <c r="J134" s="28" t="n"/>
      <c r="K134" s="30" t="n"/>
      <c r="L134" s="31" t="n"/>
      <c r="M134" s="31" t="n"/>
      <c r="N134" s="28">
        <f>IF(AND(L134&lt;&gt;"",M134&lt;&gt;""),M134-L134,"")</f>
        <v/>
      </c>
      <c r="O134" s="29" t="n"/>
      <c r="P134" s="1" t="n"/>
      <c r="Q134" s="1" t="n"/>
      <c r="R134" s="1" t="n"/>
      <c r="S134" s="1" t="n"/>
      <c r="T134" s="1" t="n"/>
    </row>
    <row r="135" ht="15.75" customHeight="1">
      <c r="A135" s="1" t="n"/>
      <c r="B135" s="1" t="n"/>
      <c r="C135" s="1" t="n"/>
      <c r="D135" s="32" t="n">
        <v>128</v>
      </c>
      <c r="E135" s="33" t="n"/>
      <c r="F135" s="32" t="n"/>
      <c r="G135" s="32" t="n"/>
      <c r="H135" s="32" t="n"/>
      <c r="I135" s="32" t="n"/>
      <c r="J135" s="32" t="n"/>
      <c r="K135" s="34" t="n"/>
      <c r="L135" s="35" t="n"/>
      <c r="M135" s="35" t="n"/>
      <c r="N135" s="32">
        <f>IF(AND(L135&lt;&gt;"",M135&lt;&gt;""),M135-L135,"")</f>
        <v/>
      </c>
      <c r="O135" s="33" t="n"/>
      <c r="P135" s="1" t="n"/>
      <c r="Q135" s="1" t="n"/>
      <c r="R135" s="1" t="n"/>
      <c r="S135" s="1" t="n"/>
      <c r="T135" s="1" t="n"/>
    </row>
    <row r="136" ht="15.75" customHeight="1">
      <c r="A136" s="1" t="n"/>
      <c r="B136" s="1" t="n"/>
      <c r="C136" s="1" t="n"/>
      <c r="D136" s="28" t="n">
        <v>129</v>
      </c>
      <c r="E136" s="29" t="n"/>
      <c r="F136" s="28" t="n"/>
      <c r="G136" s="28" t="n"/>
      <c r="H136" s="28" t="n"/>
      <c r="I136" s="28" t="n"/>
      <c r="J136" s="28" t="n"/>
      <c r="K136" s="30" t="n"/>
      <c r="L136" s="31" t="n"/>
      <c r="M136" s="31" t="n"/>
      <c r="N136" s="28">
        <f>IF(AND(L136&lt;&gt;"",M136&lt;&gt;""),M136-L136,"")</f>
        <v/>
      </c>
      <c r="O136" s="29" t="n"/>
      <c r="P136" s="1" t="n"/>
      <c r="Q136" s="1" t="n"/>
      <c r="R136" s="1" t="n"/>
      <c r="S136" s="1" t="n"/>
      <c r="T136" s="1" t="n"/>
    </row>
    <row r="137" ht="15.75" customHeight="1">
      <c r="A137" s="1" t="n"/>
      <c r="B137" s="1" t="n"/>
      <c r="C137" s="1" t="n"/>
      <c r="D137" s="32" t="n">
        <v>130</v>
      </c>
      <c r="E137" s="33" t="n"/>
      <c r="F137" s="32" t="n"/>
      <c r="G137" s="32" t="n"/>
      <c r="H137" s="32" t="n"/>
      <c r="I137" s="32" t="n"/>
      <c r="J137" s="32" t="n"/>
      <c r="K137" s="34" t="n"/>
      <c r="L137" s="35" t="n"/>
      <c r="M137" s="35" t="n"/>
      <c r="N137" s="32">
        <f>IF(AND(L137&lt;&gt;"",M137&lt;&gt;""),M137-L137,"")</f>
        <v/>
      </c>
      <c r="O137" s="33" t="n"/>
      <c r="P137" s="1" t="n"/>
      <c r="Q137" s="1" t="n"/>
      <c r="R137" s="1" t="n"/>
      <c r="S137" s="1" t="n"/>
      <c r="T137" s="1" t="n"/>
    </row>
    <row r="138" ht="15.75" customHeight="1">
      <c r="A138" s="1" t="n"/>
      <c r="B138" s="1" t="n"/>
      <c r="C138" s="1" t="n"/>
      <c r="D138" s="28" t="n">
        <v>131</v>
      </c>
      <c r="E138" s="29" t="n"/>
      <c r="F138" s="28" t="n"/>
      <c r="G138" s="28" t="n"/>
      <c r="H138" s="28" t="n"/>
      <c r="I138" s="28" t="n"/>
      <c r="J138" s="28" t="n"/>
      <c r="K138" s="30" t="n"/>
      <c r="L138" s="31" t="n"/>
      <c r="M138" s="31" t="n"/>
      <c r="N138" s="28">
        <f>IF(AND(L138&lt;&gt;"",M138&lt;&gt;""),M138-L138,"")</f>
        <v/>
      </c>
      <c r="O138" s="29" t="n"/>
      <c r="P138" s="1" t="n"/>
      <c r="Q138" s="1" t="n"/>
      <c r="R138" s="1" t="n"/>
      <c r="S138" s="1" t="n"/>
      <c r="T138" s="1" t="n"/>
    </row>
    <row r="139" ht="15.75" customHeight="1">
      <c r="A139" s="1" t="n"/>
      <c r="B139" s="1" t="n"/>
      <c r="C139" s="1" t="n"/>
      <c r="D139" s="32" t="n">
        <v>132</v>
      </c>
      <c r="E139" s="33" t="n"/>
      <c r="F139" s="32" t="n"/>
      <c r="G139" s="32" t="n"/>
      <c r="H139" s="32" t="n"/>
      <c r="I139" s="32" t="n"/>
      <c r="J139" s="32" t="n"/>
      <c r="K139" s="34" t="n"/>
      <c r="L139" s="35" t="n"/>
      <c r="M139" s="35" t="n"/>
      <c r="N139" s="32">
        <f>IF(AND(L139&lt;&gt;"",M139&lt;&gt;""),M139-L139,"")</f>
        <v/>
      </c>
      <c r="O139" s="33" t="n"/>
      <c r="P139" s="1" t="n"/>
      <c r="Q139" s="1" t="n"/>
      <c r="R139" s="1" t="n"/>
      <c r="S139" s="1" t="n"/>
      <c r="T139" s="1" t="n"/>
    </row>
    <row r="140" ht="15.75" customHeight="1">
      <c r="A140" s="1" t="n"/>
      <c r="B140" s="1" t="n"/>
      <c r="C140" s="1" t="n"/>
      <c r="D140" s="28" t="n">
        <v>133</v>
      </c>
      <c r="E140" s="29" t="n"/>
      <c r="F140" s="28" t="n"/>
      <c r="G140" s="28" t="n"/>
      <c r="H140" s="28" t="n"/>
      <c r="I140" s="28" t="n"/>
      <c r="J140" s="28" t="n"/>
      <c r="K140" s="30" t="n"/>
      <c r="L140" s="31" t="n"/>
      <c r="M140" s="31" t="n"/>
      <c r="N140" s="28">
        <f>IF(AND(L140&lt;&gt;"",M140&lt;&gt;""),M140-L140,"")</f>
        <v/>
      </c>
      <c r="O140" s="29" t="n"/>
      <c r="P140" s="1" t="n"/>
      <c r="Q140" s="1" t="n"/>
      <c r="R140" s="1" t="n"/>
      <c r="S140" s="1" t="n"/>
      <c r="T140" s="1" t="n"/>
    </row>
    <row r="141" ht="15.75" customHeight="1">
      <c r="A141" s="1" t="n"/>
      <c r="B141" s="1" t="n"/>
      <c r="C141" s="1" t="n"/>
      <c r="D141" s="32" t="n">
        <v>134</v>
      </c>
      <c r="E141" s="33" t="n"/>
      <c r="F141" s="32" t="n"/>
      <c r="G141" s="32" t="n"/>
      <c r="H141" s="32" t="n"/>
      <c r="I141" s="32" t="n"/>
      <c r="J141" s="32" t="n"/>
      <c r="K141" s="34" t="n"/>
      <c r="L141" s="35" t="n"/>
      <c r="M141" s="35" t="n"/>
      <c r="N141" s="32">
        <f>IF(AND(L141&lt;&gt;"",M141&lt;&gt;""),M141-L141,"")</f>
        <v/>
      </c>
      <c r="O141" s="33" t="n"/>
      <c r="P141" s="1" t="n"/>
      <c r="Q141" s="1" t="n"/>
      <c r="R141" s="1" t="n"/>
      <c r="S141" s="1" t="n"/>
      <c r="T141" s="1" t="n"/>
    </row>
    <row r="142" ht="15.75" customHeight="1">
      <c r="A142" s="1" t="n"/>
      <c r="B142" s="1" t="n"/>
      <c r="C142" s="1" t="n"/>
      <c r="D142" s="28" t="n">
        <v>135</v>
      </c>
      <c r="E142" s="29" t="n"/>
      <c r="F142" s="28" t="n"/>
      <c r="G142" s="28" t="n"/>
      <c r="H142" s="28" t="n"/>
      <c r="I142" s="28" t="n"/>
      <c r="J142" s="28" t="n"/>
      <c r="K142" s="30" t="n"/>
      <c r="L142" s="31" t="n"/>
      <c r="M142" s="31" t="n"/>
      <c r="N142" s="28">
        <f>IF(AND(L142&lt;&gt;"",M142&lt;&gt;""),M142-L142,"")</f>
        <v/>
      </c>
      <c r="O142" s="29" t="n"/>
      <c r="P142" s="1" t="n"/>
      <c r="Q142" s="1" t="n"/>
      <c r="R142" s="1" t="n"/>
      <c r="S142" s="1" t="n"/>
      <c r="T142" s="1" t="n"/>
    </row>
    <row r="143" ht="15.75" customHeight="1">
      <c r="A143" s="1" t="n"/>
      <c r="B143" s="1" t="n"/>
      <c r="C143" s="1" t="n"/>
      <c r="D143" s="32" t="n">
        <v>136</v>
      </c>
      <c r="E143" s="33" t="n"/>
      <c r="F143" s="32" t="n"/>
      <c r="G143" s="32" t="n"/>
      <c r="H143" s="32" t="n"/>
      <c r="I143" s="32" t="n"/>
      <c r="J143" s="32" t="n"/>
      <c r="K143" s="34" t="n"/>
      <c r="L143" s="35" t="n"/>
      <c r="M143" s="35" t="n"/>
      <c r="N143" s="32">
        <f>IF(AND(L143&lt;&gt;"",M143&lt;&gt;""),M143-L143,"")</f>
        <v/>
      </c>
      <c r="O143" s="33" t="n"/>
      <c r="P143" s="1" t="n"/>
      <c r="Q143" s="1" t="n"/>
      <c r="R143" s="1" t="n"/>
      <c r="S143" s="1" t="n"/>
      <c r="T143" s="1" t="n"/>
    </row>
    <row r="144" ht="15.75" customHeight="1">
      <c r="A144" s="1" t="n"/>
      <c r="B144" s="1" t="n"/>
      <c r="C144" s="1" t="n"/>
      <c r="D144" s="28" t="n">
        <v>137</v>
      </c>
      <c r="E144" s="29" t="n"/>
      <c r="F144" s="28" t="n"/>
      <c r="G144" s="28" t="n"/>
      <c r="H144" s="28" t="n"/>
      <c r="I144" s="28" t="n"/>
      <c r="J144" s="28" t="n"/>
      <c r="K144" s="30" t="n"/>
      <c r="L144" s="31" t="n"/>
      <c r="M144" s="31" t="n"/>
      <c r="N144" s="28">
        <f>IF(AND(L144&lt;&gt;"",M144&lt;&gt;""),M144-L144,"")</f>
        <v/>
      </c>
      <c r="O144" s="29" t="n"/>
      <c r="P144" s="1" t="n"/>
      <c r="Q144" s="1" t="n"/>
      <c r="R144" s="1" t="n"/>
      <c r="S144" s="1" t="n"/>
      <c r="T144" s="1" t="n"/>
    </row>
    <row r="145" ht="15.75" customHeight="1">
      <c r="A145" s="1" t="n"/>
      <c r="B145" s="1" t="n"/>
      <c r="C145" s="1" t="n"/>
      <c r="D145" s="32" t="n">
        <v>138</v>
      </c>
      <c r="E145" s="33" t="n"/>
      <c r="F145" s="32" t="n"/>
      <c r="G145" s="32" t="n"/>
      <c r="H145" s="32" t="n"/>
      <c r="I145" s="32" t="n"/>
      <c r="J145" s="32" t="n"/>
      <c r="K145" s="34" t="n"/>
      <c r="L145" s="35" t="n"/>
      <c r="M145" s="35" t="n"/>
      <c r="N145" s="32">
        <f>IF(AND(L145&lt;&gt;"",M145&lt;&gt;""),M145-L145,"")</f>
        <v/>
      </c>
      <c r="O145" s="33" t="n"/>
      <c r="P145" s="1" t="n"/>
      <c r="Q145" s="1" t="n"/>
      <c r="R145" s="1" t="n"/>
      <c r="S145" s="1" t="n"/>
      <c r="T145" s="1" t="n"/>
    </row>
    <row r="146" ht="15.75" customHeight="1">
      <c r="A146" s="1" t="n"/>
      <c r="B146" s="1" t="n"/>
      <c r="C146" s="1" t="n"/>
      <c r="D146" s="28" t="n">
        <v>139</v>
      </c>
      <c r="E146" s="29" t="n"/>
      <c r="F146" s="28" t="n"/>
      <c r="G146" s="28" t="n"/>
      <c r="H146" s="28" t="n"/>
      <c r="I146" s="28" t="n"/>
      <c r="J146" s="28" t="n"/>
      <c r="K146" s="30" t="n"/>
      <c r="L146" s="31" t="n"/>
      <c r="M146" s="31" t="n"/>
      <c r="N146" s="28">
        <f>IF(AND(L146&lt;&gt;"",M146&lt;&gt;""),M146-L146,"")</f>
        <v/>
      </c>
      <c r="O146" s="29" t="n"/>
      <c r="P146" s="1" t="n"/>
      <c r="Q146" s="1" t="n"/>
      <c r="R146" s="1" t="n"/>
      <c r="S146" s="1" t="n"/>
      <c r="T146" s="1" t="n"/>
    </row>
    <row r="147" ht="15.75" customHeight="1">
      <c r="A147" s="1" t="n"/>
      <c r="B147" s="1" t="n"/>
      <c r="C147" s="1" t="n"/>
      <c r="D147" s="32" t="n">
        <v>140</v>
      </c>
      <c r="E147" s="33" t="n"/>
      <c r="F147" s="32" t="n"/>
      <c r="G147" s="32" t="n"/>
      <c r="H147" s="32" t="n"/>
      <c r="I147" s="32" t="n"/>
      <c r="J147" s="32" t="n"/>
      <c r="K147" s="34" t="n"/>
      <c r="L147" s="35" t="n"/>
      <c r="M147" s="35" t="n"/>
      <c r="N147" s="32">
        <f>IF(AND(L147&lt;&gt;"",M147&lt;&gt;""),M147-L147,"")</f>
        <v/>
      </c>
      <c r="O147" s="33" t="n"/>
      <c r="P147" s="1" t="n"/>
      <c r="Q147" s="1" t="n"/>
      <c r="R147" s="1" t="n"/>
      <c r="S147" s="1" t="n"/>
      <c r="T147" s="1" t="n"/>
    </row>
    <row r="148" ht="15.75" customHeight="1">
      <c r="A148" s="1" t="n"/>
      <c r="B148" s="1" t="n"/>
      <c r="C148" s="1" t="n"/>
      <c r="D148" s="28" t="n">
        <v>141</v>
      </c>
      <c r="E148" s="29" t="n"/>
      <c r="F148" s="28" t="n"/>
      <c r="G148" s="28" t="n"/>
      <c r="H148" s="28" t="n"/>
      <c r="I148" s="28" t="n"/>
      <c r="J148" s="28" t="n"/>
      <c r="K148" s="30" t="n"/>
      <c r="L148" s="31" t="n"/>
      <c r="M148" s="31" t="n"/>
      <c r="N148" s="28">
        <f>IF(AND(L148&lt;&gt;"",M148&lt;&gt;""),M148-L148,"")</f>
        <v/>
      </c>
      <c r="O148" s="29" t="n"/>
      <c r="P148" s="1" t="n"/>
      <c r="Q148" s="1" t="n"/>
      <c r="R148" s="1" t="n"/>
      <c r="S148" s="1" t="n"/>
      <c r="T148" s="1" t="n"/>
    </row>
    <row r="149" ht="15.75" customHeight="1">
      <c r="A149" s="1" t="n"/>
      <c r="B149" s="1" t="n"/>
      <c r="C149" s="1" t="n"/>
      <c r="D149" s="32" t="n">
        <v>142</v>
      </c>
      <c r="E149" s="33" t="n"/>
      <c r="F149" s="32" t="n"/>
      <c r="G149" s="32" t="n"/>
      <c r="H149" s="32" t="n"/>
      <c r="I149" s="32" t="n"/>
      <c r="J149" s="32" t="n"/>
      <c r="K149" s="34" t="n"/>
      <c r="L149" s="35" t="n"/>
      <c r="M149" s="35" t="n"/>
      <c r="N149" s="32">
        <f>IF(AND(L149&lt;&gt;"",M149&lt;&gt;""),M149-L149,"")</f>
        <v/>
      </c>
      <c r="O149" s="33" t="n"/>
      <c r="P149" s="1" t="n"/>
      <c r="Q149" s="1" t="n"/>
      <c r="R149" s="1" t="n"/>
      <c r="S149" s="1" t="n"/>
      <c r="T149" s="1" t="n"/>
    </row>
    <row r="150" ht="15.75" customHeight="1">
      <c r="A150" s="1" t="n"/>
      <c r="B150" s="1" t="n"/>
      <c r="C150" s="1" t="n"/>
      <c r="D150" s="28" t="n">
        <v>143</v>
      </c>
      <c r="E150" s="29" t="n"/>
      <c r="F150" s="28" t="n"/>
      <c r="G150" s="28" t="n"/>
      <c r="H150" s="28" t="n"/>
      <c r="I150" s="28" t="n"/>
      <c r="J150" s="28" t="n"/>
      <c r="K150" s="30" t="n"/>
      <c r="L150" s="31" t="n"/>
      <c r="M150" s="31" t="n"/>
      <c r="N150" s="28">
        <f>IF(AND(L150&lt;&gt;"",M150&lt;&gt;""),M150-L150,"")</f>
        <v/>
      </c>
      <c r="O150" s="29" t="n"/>
      <c r="P150" s="1" t="n"/>
      <c r="Q150" s="1" t="n"/>
      <c r="R150" s="1" t="n"/>
      <c r="S150" s="1" t="n"/>
      <c r="T150" s="1" t="n"/>
    </row>
    <row r="151" ht="15.75" customHeight="1">
      <c r="A151" s="1" t="n"/>
      <c r="B151" s="1" t="n"/>
      <c r="C151" s="1" t="n"/>
      <c r="D151" s="32" t="n">
        <v>144</v>
      </c>
      <c r="E151" s="33" t="n"/>
      <c r="F151" s="32" t="n"/>
      <c r="G151" s="32" t="n"/>
      <c r="H151" s="32" t="n"/>
      <c r="I151" s="32" t="n"/>
      <c r="J151" s="32" t="n"/>
      <c r="K151" s="34" t="n"/>
      <c r="L151" s="35" t="n"/>
      <c r="M151" s="35" t="n"/>
      <c r="N151" s="32">
        <f>IF(AND(L151&lt;&gt;"",M151&lt;&gt;""),M151-L151,"")</f>
        <v/>
      </c>
      <c r="O151" s="33" t="n"/>
      <c r="P151" s="1" t="n"/>
      <c r="Q151" s="1" t="n"/>
      <c r="R151" s="1" t="n"/>
      <c r="S151" s="1" t="n"/>
      <c r="T151" s="1" t="n"/>
    </row>
    <row r="152" ht="15.75" customHeight="1">
      <c r="A152" s="1" t="n"/>
      <c r="B152" s="1" t="n"/>
      <c r="C152" s="1" t="n"/>
      <c r="D152" s="28" t="n">
        <v>145</v>
      </c>
      <c r="E152" s="29" t="n"/>
      <c r="F152" s="28" t="n"/>
      <c r="G152" s="28" t="n"/>
      <c r="H152" s="28" t="n"/>
      <c r="I152" s="28" t="n"/>
      <c r="J152" s="28" t="n"/>
      <c r="K152" s="30" t="n"/>
      <c r="L152" s="31" t="n"/>
      <c r="M152" s="31" t="n"/>
      <c r="N152" s="28">
        <f>IF(AND(L152&lt;&gt;"",M152&lt;&gt;""),M152-L152,"")</f>
        <v/>
      </c>
      <c r="O152" s="29" t="n"/>
      <c r="P152" s="1" t="n"/>
      <c r="Q152" s="1" t="n"/>
      <c r="R152" s="1" t="n"/>
      <c r="S152" s="1" t="n"/>
      <c r="T152" s="1" t="n"/>
    </row>
    <row r="153" ht="15.75" customHeight="1">
      <c r="A153" s="1" t="n"/>
      <c r="B153" s="1" t="n"/>
      <c r="C153" s="1" t="n"/>
      <c r="D153" s="32" t="n">
        <v>146</v>
      </c>
      <c r="E153" s="33" t="n"/>
      <c r="F153" s="32" t="n"/>
      <c r="G153" s="32" t="n"/>
      <c r="H153" s="32" t="n"/>
      <c r="I153" s="32" t="n"/>
      <c r="J153" s="32" t="n"/>
      <c r="K153" s="34" t="n"/>
      <c r="L153" s="35" t="n"/>
      <c r="M153" s="35" t="n"/>
      <c r="N153" s="32">
        <f>IF(AND(L153&lt;&gt;"",M153&lt;&gt;""),M153-L153,"")</f>
        <v/>
      </c>
      <c r="O153" s="33" t="n"/>
      <c r="P153" s="1" t="n"/>
      <c r="Q153" s="1" t="n"/>
      <c r="R153" s="1" t="n"/>
      <c r="S153" s="1" t="n"/>
      <c r="T153" s="1" t="n"/>
    </row>
    <row r="154" ht="15.75" customHeight="1">
      <c r="A154" s="1" t="n"/>
      <c r="B154" s="1" t="n"/>
      <c r="C154" s="1" t="n"/>
      <c r="D154" s="28" t="n">
        <v>147</v>
      </c>
      <c r="E154" s="29" t="n"/>
      <c r="F154" s="28" t="n"/>
      <c r="G154" s="28" t="n"/>
      <c r="H154" s="28" t="n"/>
      <c r="I154" s="28" t="n"/>
      <c r="J154" s="28" t="n"/>
      <c r="K154" s="30" t="n"/>
      <c r="L154" s="31" t="n"/>
      <c r="M154" s="31" t="n"/>
      <c r="N154" s="28">
        <f>IF(AND(L154&lt;&gt;"",M154&lt;&gt;""),M154-L154,"")</f>
        <v/>
      </c>
      <c r="O154" s="29" t="n"/>
      <c r="P154" s="1" t="n"/>
      <c r="Q154" s="1" t="n"/>
      <c r="R154" s="1" t="n"/>
      <c r="S154" s="1" t="n"/>
      <c r="T154" s="1" t="n"/>
    </row>
    <row r="155" ht="15.75" customHeight="1">
      <c r="A155" s="1" t="n"/>
      <c r="B155" s="1" t="n"/>
      <c r="C155" s="1" t="n"/>
      <c r="D155" s="32" t="n">
        <v>148</v>
      </c>
      <c r="E155" s="33" t="n"/>
      <c r="F155" s="32" t="n"/>
      <c r="G155" s="32" t="n"/>
      <c r="H155" s="32" t="n"/>
      <c r="I155" s="32" t="n"/>
      <c r="J155" s="32" t="n"/>
      <c r="K155" s="34" t="n"/>
      <c r="L155" s="35" t="n"/>
      <c r="M155" s="35" t="n"/>
      <c r="N155" s="32">
        <f>IF(AND(L155&lt;&gt;"",M155&lt;&gt;""),M155-L155,"")</f>
        <v/>
      </c>
      <c r="O155" s="33" t="n"/>
      <c r="P155" s="1" t="n"/>
      <c r="Q155" s="1" t="n"/>
      <c r="R155" s="1" t="n"/>
      <c r="S155" s="1" t="n"/>
      <c r="T155" s="1" t="n"/>
    </row>
    <row r="156" ht="15.75" customHeight="1">
      <c r="A156" s="1" t="n"/>
      <c r="B156" s="1" t="n"/>
      <c r="C156" s="1" t="n"/>
      <c r="D156" s="28" t="n">
        <v>149</v>
      </c>
      <c r="E156" s="29" t="n"/>
      <c r="F156" s="28" t="n"/>
      <c r="G156" s="28" t="n"/>
      <c r="H156" s="28" t="n"/>
      <c r="I156" s="28" t="n"/>
      <c r="J156" s="28" t="n"/>
      <c r="K156" s="30" t="n"/>
      <c r="L156" s="31" t="n"/>
      <c r="M156" s="31" t="n"/>
      <c r="N156" s="28">
        <f>IF(AND(L156&lt;&gt;"",M156&lt;&gt;""),M156-L156,"")</f>
        <v/>
      </c>
      <c r="O156" s="29" t="n"/>
      <c r="P156" s="1" t="n"/>
      <c r="Q156" s="1" t="n"/>
      <c r="R156" s="1" t="n"/>
      <c r="S156" s="1" t="n"/>
      <c r="T156" s="1" t="n"/>
    </row>
    <row r="157" ht="15.75" customHeight="1">
      <c r="A157" s="1" t="n"/>
      <c r="B157" s="1" t="n"/>
      <c r="C157" s="1" t="n"/>
      <c r="D157" s="32" t="n">
        <v>150</v>
      </c>
      <c r="E157" s="33" t="n"/>
      <c r="F157" s="32" t="n"/>
      <c r="G157" s="32" t="n"/>
      <c r="H157" s="32" t="n"/>
      <c r="I157" s="32" t="n"/>
      <c r="J157" s="32" t="n"/>
      <c r="K157" s="34" t="n"/>
      <c r="L157" s="35" t="n"/>
      <c r="M157" s="35" t="n"/>
      <c r="N157" s="32">
        <f>IF(AND(L157&lt;&gt;"",M157&lt;&gt;""),M157-L157,"")</f>
        <v/>
      </c>
      <c r="O157" s="33" t="n"/>
      <c r="P157" s="1" t="n"/>
      <c r="Q157" s="1" t="n"/>
      <c r="R157" s="1" t="n"/>
      <c r="S157" s="1" t="n"/>
      <c r="T157" s="1" t="n"/>
    </row>
    <row r="158" ht="15.75" customHeight="1">
      <c r="A158" s="1" t="n"/>
      <c r="B158" s="1" t="n"/>
      <c r="C158" s="1" t="n"/>
      <c r="D158" s="28" t="n">
        <v>151</v>
      </c>
      <c r="E158" s="29" t="n"/>
      <c r="F158" s="28" t="n"/>
      <c r="G158" s="28" t="n"/>
      <c r="H158" s="28" t="n"/>
      <c r="I158" s="28" t="n"/>
      <c r="J158" s="28" t="n"/>
      <c r="K158" s="30" t="n"/>
      <c r="L158" s="31" t="n"/>
      <c r="M158" s="31" t="n"/>
      <c r="N158" s="28">
        <f>IF(AND(L158&lt;&gt;"",M158&lt;&gt;""),M158-L158,"")</f>
        <v/>
      </c>
      <c r="O158" s="29" t="n"/>
      <c r="P158" s="1" t="n"/>
      <c r="Q158" s="1" t="n"/>
      <c r="R158" s="1" t="n"/>
      <c r="S158" s="1" t="n"/>
      <c r="T158" s="1" t="n"/>
    </row>
    <row r="159" ht="15.75" customHeight="1">
      <c r="A159" s="1" t="n"/>
      <c r="B159" s="1" t="n"/>
      <c r="C159" s="1" t="n"/>
      <c r="D159" s="32" t="n">
        <v>152</v>
      </c>
      <c r="E159" s="33" t="n"/>
      <c r="F159" s="32" t="n"/>
      <c r="G159" s="32" t="n"/>
      <c r="H159" s="32" t="n"/>
      <c r="I159" s="32" t="n"/>
      <c r="J159" s="32" t="n"/>
      <c r="K159" s="34" t="n"/>
      <c r="L159" s="35" t="n"/>
      <c r="M159" s="35" t="n"/>
      <c r="N159" s="32">
        <f>IF(AND(L159&lt;&gt;"",M159&lt;&gt;""),M159-L159,"")</f>
        <v/>
      </c>
      <c r="O159" s="33" t="n"/>
      <c r="P159" s="1" t="n"/>
      <c r="Q159" s="1" t="n"/>
      <c r="R159" s="1" t="n"/>
      <c r="S159" s="1" t="n"/>
      <c r="T159" s="1" t="n"/>
    </row>
    <row r="160" ht="15.75" customHeight="1">
      <c r="A160" s="1" t="n"/>
      <c r="B160" s="1" t="n"/>
      <c r="C160" s="1" t="n"/>
      <c r="D160" s="28" t="n">
        <v>153</v>
      </c>
      <c r="E160" s="29" t="n"/>
      <c r="F160" s="28" t="n"/>
      <c r="G160" s="28" t="n"/>
      <c r="H160" s="28" t="n"/>
      <c r="I160" s="28" t="n"/>
      <c r="J160" s="28" t="n"/>
      <c r="K160" s="30" t="n"/>
      <c r="L160" s="31" t="n"/>
      <c r="M160" s="31" t="n"/>
      <c r="N160" s="28">
        <f>IF(AND(L160&lt;&gt;"",M160&lt;&gt;""),M160-L160,"")</f>
        <v/>
      </c>
      <c r="O160" s="29" t="n"/>
      <c r="P160" s="1" t="n"/>
      <c r="Q160" s="1" t="n"/>
      <c r="R160" s="1" t="n"/>
      <c r="S160" s="1" t="n"/>
      <c r="T160" s="1" t="n"/>
    </row>
    <row r="161" ht="15.75" customHeight="1">
      <c r="A161" s="1" t="n"/>
      <c r="B161" s="1" t="n"/>
      <c r="C161" s="1" t="n"/>
      <c r="D161" s="32" t="n">
        <v>154</v>
      </c>
      <c r="E161" s="33" t="n"/>
      <c r="F161" s="32" t="n"/>
      <c r="G161" s="32" t="n"/>
      <c r="H161" s="32" t="n"/>
      <c r="I161" s="32" t="n"/>
      <c r="J161" s="32" t="n"/>
      <c r="K161" s="34" t="n"/>
      <c r="L161" s="35" t="n"/>
      <c r="M161" s="35" t="n"/>
      <c r="N161" s="32">
        <f>IF(AND(L161&lt;&gt;"",M161&lt;&gt;""),M161-L161,"")</f>
        <v/>
      </c>
      <c r="O161" s="33" t="n"/>
      <c r="P161" s="1" t="n"/>
      <c r="Q161" s="1" t="n"/>
      <c r="R161" s="1" t="n"/>
      <c r="S161" s="1" t="n"/>
      <c r="T161" s="1" t="n"/>
    </row>
    <row r="162" ht="15.75" customHeight="1">
      <c r="A162" s="1" t="n"/>
      <c r="B162" s="1" t="n"/>
      <c r="C162" s="1" t="n"/>
      <c r="D162" s="28" t="n">
        <v>155</v>
      </c>
      <c r="E162" s="29" t="n"/>
      <c r="F162" s="28" t="n"/>
      <c r="G162" s="28" t="n"/>
      <c r="H162" s="28" t="n"/>
      <c r="I162" s="28" t="n"/>
      <c r="J162" s="28" t="n"/>
      <c r="K162" s="30" t="n"/>
      <c r="L162" s="31" t="n"/>
      <c r="M162" s="31" t="n"/>
      <c r="N162" s="28">
        <f>IF(AND(L162&lt;&gt;"",M162&lt;&gt;""),M162-L162,"")</f>
        <v/>
      </c>
      <c r="O162" s="29" t="n"/>
      <c r="P162" s="1" t="n"/>
      <c r="Q162" s="1" t="n"/>
      <c r="R162" s="1" t="n"/>
      <c r="S162" s="1" t="n"/>
      <c r="T162" s="1" t="n"/>
    </row>
    <row r="163" ht="15.75" customHeight="1">
      <c r="A163" s="1" t="n"/>
      <c r="B163" s="1" t="n"/>
      <c r="C163" s="1" t="n"/>
      <c r="D163" s="32" t="n">
        <v>156</v>
      </c>
      <c r="E163" s="33" t="n"/>
      <c r="F163" s="32" t="n"/>
      <c r="G163" s="32" t="n"/>
      <c r="H163" s="32" t="n"/>
      <c r="I163" s="32" t="n"/>
      <c r="J163" s="32" t="n"/>
      <c r="K163" s="34" t="n"/>
      <c r="L163" s="35" t="n"/>
      <c r="M163" s="35" t="n"/>
      <c r="N163" s="32">
        <f>IF(AND(L163&lt;&gt;"",M163&lt;&gt;""),M163-L163,"")</f>
        <v/>
      </c>
      <c r="O163" s="33" t="n"/>
      <c r="P163" s="1" t="n"/>
      <c r="Q163" s="1" t="n"/>
      <c r="R163" s="1" t="n"/>
      <c r="S163" s="1" t="n"/>
      <c r="T163" s="1" t="n"/>
    </row>
    <row r="164" ht="15.75" customHeight="1">
      <c r="A164" s="1" t="n"/>
      <c r="B164" s="1" t="n"/>
      <c r="C164" s="1" t="n"/>
      <c r="D164" s="28" t="n">
        <v>157</v>
      </c>
      <c r="E164" s="29" t="n"/>
      <c r="F164" s="28" t="n"/>
      <c r="G164" s="28" t="n"/>
      <c r="H164" s="28" t="n"/>
      <c r="I164" s="28" t="n"/>
      <c r="J164" s="28" t="n"/>
      <c r="K164" s="30" t="n"/>
      <c r="L164" s="31" t="n"/>
      <c r="M164" s="31" t="n"/>
      <c r="N164" s="28">
        <f>IF(AND(L164&lt;&gt;"",M164&lt;&gt;""),M164-L164,"")</f>
        <v/>
      </c>
      <c r="O164" s="29" t="n"/>
      <c r="P164" s="1" t="n"/>
      <c r="Q164" s="1" t="n"/>
      <c r="R164" s="1" t="n"/>
      <c r="S164" s="1" t="n"/>
      <c r="T164" s="1" t="n"/>
    </row>
    <row r="165" ht="15.75" customHeight="1">
      <c r="A165" s="1" t="n"/>
      <c r="B165" s="1" t="n"/>
      <c r="C165" s="1" t="n"/>
      <c r="D165" s="32" t="n">
        <v>158</v>
      </c>
      <c r="E165" s="33" t="n"/>
      <c r="F165" s="32" t="n"/>
      <c r="G165" s="32" t="n"/>
      <c r="H165" s="32" t="n"/>
      <c r="I165" s="32" t="n"/>
      <c r="J165" s="32" t="n"/>
      <c r="K165" s="34" t="n"/>
      <c r="L165" s="35" t="n"/>
      <c r="M165" s="35" t="n"/>
      <c r="N165" s="32">
        <f>IF(AND(L165&lt;&gt;"",M165&lt;&gt;""),M165-L165,"")</f>
        <v/>
      </c>
      <c r="O165" s="33" t="n"/>
      <c r="P165" s="1" t="n"/>
      <c r="Q165" s="1" t="n"/>
      <c r="R165" s="1" t="n"/>
      <c r="S165" s="1" t="n"/>
      <c r="T165" s="1" t="n"/>
    </row>
    <row r="166" ht="15.75" customHeight="1">
      <c r="A166" s="1" t="n"/>
      <c r="B166" s="1" t="n"/>
      <c r="C166" s="1" t="n"/>
      <c r="D166" s="28" t="n">
        <v>159</v>
      </c>
      <c r="E166" s="29" t="n"/>
      <c r="F166" s="28" t="n"/>
      <c r="G166" s="28" t="n"/>
      <c r="H166" s="28" t="n"/>
      <c r="I166" s="28" t="n"/>
      <c r="J166" s="28" t="n"/>
      <c r="K166" s="30" t="n"/>
      <c r="L166" s="31" t="n"/>
      <c r="M166" s="31" t="n"/>
      <c r="N166" s="28">
        <f>IF(AND(L166&lt;&gt;"",M166&lt;&gt;""),M166-L166,"")</f>
        <v/>
      </c>
      <c r="O166" s="29" t="n"/>
      <c r="P166" s="1" t="n"/>
      <c r="Q166" s="1" t="n"/>
      <c r="R166" s="1" t="n"/>
      <c r="S166" s="1" t="n"/>
      <c r="T166" s="1" t="n"/>
    </row>
    <row r="167" ht="15.75" customHeight="1">
      <c r="A167" s="1" t="n"/>
      <c r="B167" s="1" t="n"/>
      <c r="C167" s="1" t="n"/>
      <c r="D167" s="32" t="n">
        <v>160</v>
      </c>
      <c r="E167" s="33" t="n"/>
      <c r="F167" s="32" t="n"/>
      <c r="G167" s="32" t="n"/>
      <c r="H167" s="32" t="n"/>
      <c r="I167" s="32" t="n"/>
      <c r="J167" s="32" t="n"/>
      <c r="K167" s="34" t="n"/>
      <c r="L167" s="35" t="n"/>
      <c r="M167" s="35" t="n"/>
      <c r="N167" s="32">
        <f>IF(AND(L167&lt;&gt;"",M167&lt;&gt;""),M167-L167,"")</f>
        <v/>
      </c>
      <c r="O167" s="33" t="n"/>
      <c r="P167" s="1" t="n"/>
      <c r="Q167" s="1" t="n"/>
      <c r="R167" s="1" t="n"/>
      <c r="S167" s="1" t="n"/>
      <c r="T167" s="1" t="n"/>
    </row>
    <row r="168" ht="15.75" customHeight="1">
      <c r="A168" s="1" t="n"/>
      <c r="B168" s="1" t="n"/>
      <c r="C168" s="1" t="n"/>
      <c r="D168" s="28" t="n">
        <v>161</v>
      </c>
      <c r="E168" s="29" t="n"/>
      <c r="F168" s="28" t="n"/>
      <c r="G168" s="28" t="n"/>
      <c r="H168" s="28" t="n"/>
      <c r="I168" s="28" t="n"/>
      <c r="J168" s="28" t="n"/>
      <c r="K168" s="30" t="n"/>
      <c r="L168" s="31" t="n"/>
      <c r="M168" s="31" t="n"/>
      <c r="N168" s="28">
        <f>IF(AND(L168&lt;&gt;"",M168&lt;&gt;""),M168-L168,"")</f>
        <v/>
      </c>
      <c r="O168" s="29" t="n"/>
      <c r="P168" s="1" t="n"/>
      <c r="Q168" s="1" t="n"/>
      <c r="R168" s="1" t="n"/>
      <c r="S168" s="1" t="n"/>
      <c r="T168" s="1" t="n"/>
    </row>
    <row r="169" ht="15.75" customHeight="1">
      <c r="A169" s="1" t="n"/>
      <c r="B169" s="1" t="n"/>
      <c r="C169" s="1" t="n"/>
      <c r="D169" s="32" t="n">
        <v>162</v>
      </c>
      <c r="E169" s="33" t="n"/>
      <c r="F169" s="32" t="n"/>
      <c r="G169" s="32" t="n"/>
      <c r="H169" s="32" t="n"/>
      <c r="I169" s="32" t="n"/>
      <c r="J169" s="32" t="n"/>
      <c r="K169" s="34" t="n"/>
      <c r="L169" s="35" t="n"/>
      <c r="M169" s="35" t="n"/>
      <c r="N169" s="32">
        <f>IF(AND(L169&lt;&gt;"",M169&lt;&gt;""),M169-L169,"")</f>
        <v/>
      </c>
      <c r="O169" s="33" t="n"/>
      <c r="P169" s="1" t="n"/>
      <c r="Q169" s="1" t="n"/>
      <c r="R169" s="1" t="n"/>
      <c r="S169" s="1" t="n"/>
      <c r="T169" s="1" t="n"/>
    </row>
    <row r="170" ht="15.75" customHeight="1">
      <c r="A170" s="1" t="n"/>
      <c r="B170" s="1" t="n"/>
      <c r="C170" s="1" t="n"/>
      <c r="D170" s="28" t="n">
        <v>163</v>
      </c>
      <c r="E170" s="29" t="n"/>
      <c r="F170" s="28" t="n"/>
      <c r="G170" s="28" t="n"/>
      <c r="H170" s="28" t="n"/>
      <c r="I170" s="28" t="n"/>
      <c r="J170" s="28" t="n"/>
      <c r="K170" s="30" t="n"/>
      <c r="L170" s="31" t="n"/>
      <c r="M170" s="31" t="n"/>
      <c r="N170" s="28">
        <f>IF(AND(L170&lt;&gt;"",M170&lt;&gt;""),M170-L170,"")</f>
        <v/>
      </c>
      <c r="O170" s="29" t="n"/>
      <c r="P170" s="1" t="n"/>
      <c r="Q170" s="1" t="n"/>
      <c r="R170" s="1" t="n"/>
      <c r="S170" s="1" t="n"/>
      <c r="T170" s="1" t="n"/>
    </row>
    <row r="171" ht="15.75" customHeight="1">
      <c r="A171" s="1" t="n"/>
      <c r="B171" s="1" t="n"/>
      <c r="C171" s="1" t="n"/>
      <c r="D171" s="32" t="n">
        <v>164</v>
      </c>
      <c r="E171" s="33" t="n"/>
      <c r="F171" s="32" t="n"/>
      <c r="G171" s="32" t="n"/>
      <c r="H171" s="32" t="n"/>
      <c r="I171" s="32" t="n"/>
      <c r="J171" s="32" t="n"/>
      <c r="K171" s="34" t="n"/>
      <c r="L171" s="35" t="n"/>
      <c r="M171" s="35" t="n"/>
      <c r="N171" s="32">
        <f>IF(AND(L171&lt;&gt;"",M171&lt;&gt;""),M171-L171,"")</f>
        <v/>
      </c>
      <c r="O171" s="33" t="n"/>
      <c r="P171" s="1" t="n"/>
      <c r="Q171" s="1" t="n"/>
      <c r="R171" s="1" t="n"/>
      <c r="S171" s="1" t="n"/>
      <c r="T171" s="1" t="n"/>
    </row>
    <row r="172" ht="15.75" customHeight="1">
      <c r="A172" s="1" t="n"/>
      <c r="B172" s="1" t="n"/>
      <c r="C172" s="1" t="n"/>
      <c r="D172" s="28" t="n">
        <v>165</v>
      </c>
      <c r="E172" s="29" t="n"/>
      <c r="F172" s="28" t="n"/>
      <c r="G172" s="28" t="n"/>
      <c r="H172" s="28" t="n"/>
      <c r="I172" s="28" t="n"/>
      <c r="J172" s="28" t="n"/>
      <c r="K172" s="30" t="n"/>
      <c r="L172" s="31" t="n"/>
      <c r="M172" s="31" t="n"/>
      <c r="N172" s="28">
        <f>IF(AND(L172&lt;&gt;"",M172&lt;&gt;""),M172-L172,"")</f>
        <v/>
      </c>
      <c r="O172" s="29" t="n"/>
      <c r="P172" s="1" t="n"/>
      <c r="Q172" s="1" t="n"/>
      <c r="R172" s="1" t="n"/>
      <c r="S172" s="1" t="n"/>
      <c r="T172" s="1" t="n"/>
    </row>
    <row r="173" ht="15.75" customHeight="1">
      <c r="A173" s="1" t="n"/>
      <c r="B173" s="1" t="n"/>
      <c r="C173" s="1" t="n"/>
      <c r="D173" s="32" t="n">
        <v>166</v>
      </c>
      <c r="E173" s="33" t="n"/>
      <c r="F173" s="32" t="n"/>
      <c r="G173" s="32" t="n"/>
      <c r="H173" s="32" t="n"/>
      <c r="I173" s="32" t="n"/>
      <c r="J173" s="32" t="n"/>
      <c r="K173" s="34" t="n"/>
      <c r="L173" s="35" t="n"/>
      <c r="M173" s="35" t="n"/>
      <c r="N173" s="32">
        <f>IF(AND(L173&lt;&gt;"",M173&lt;&gt;""),M173-L173,"")</f>
        <v/>
      </c>
      <c r="O173" s="33" t="n"/>
      <c r="P173" s="1" t="n"/>
      <c r="Q173" s="1" t="n"/>
      <c r="R173" s="1" t="n"/>
      <c r="S173" s="1" t="n"/>
      <c r="T173" s="1" t="n"/>
    </row>
    <row r="174" ht="15.75" customHeight="1">
      <c r="A174" s="1" t="n"/>
      <c r="B174" s="1" t="n"/>
      <c r="C174" s="1" t="n"/>
      <c r="D174" s="28" t="n">
        <v>167</v>
      </c>
      <c r="E174" s="29" t="n"/>
      <c r="F174" s="28" t="n"/>
      <c r="G174" s="28" t="n"/>
      <c r="H174" s="28" t="n"/>
      <c r="I174" s="28" t="n"/>
      <c r="J174" s="28" t="n"/>
      <c r="K174" s="30" t="n"/>
      <c r="L174" s="31" t="n"/>
      <c r="M174" s="31" t="n"/>
      <c r="N174" s="28">
        <f>IF(AND(L174&lt;&gt;"",M174&lt;&gt;""),M174-L174,"")</f>
        <v/>
      </c>
      <c r="O174" s="29" t="n"/>
      <c r="P174" s="1" t="n"/>
      <c r="Q174" s="1" t="n"/>
      <c r="R174" s="1" t="n"/>
      <c r="S174" s="1" t="n"/>
      <c r="T174" s="1" t="n"/>
    </row>
    <row r="175" ht="15.75" customHeight="1">
      <c r="A175" s="1" t="n"/>
      <c r="B175" s="1" t="n"/>
      <c r="C175" s="1" t="n"/>
      <c r="D175" s="32" t="n">
        <v>168</v>
      </c>
      <c r="E175" s="33" t="n"/>
      <c r="F175" s="32" t="n"/>
      <c r="G175" s="32" t="n"/>
      <c r="H175" s="32" t="n"/>
      <c r="I175" s="32" t="n"/>
      <c r="J175" s="32" t="n"/>
      <c r="K175" s="34" t="n"/>
      <c r="L175" s="35" t="n"/>
      <c r="M175" s="35" t="n"/>
      <c r="N175" s="32">
        <f>IF(AND(L175&lt;&gt;"",M175&lt;&gt;""),M175-L175,"")</f>
        <v/>
      </c>
      <c r="O175" s="33" t="n"/>
      <c r="P175" s="1" t="n"/>
      <c r="Q175" s="1" t="n"/>
      <c r="R175" s="1" t="n"/>
      <c r="S175" s="1" t="n"/>
      <c r="T175" s="1" t="n"/>
    </row>
    <row r="176" ht="15.75" customHeight="1">
      <c r="A176" s="1" t="n"/>
      <c r="B176" s="1" t="n"/>
      <c r="C176" s="1" t="n"/>
      <c r="D176" s="28" t="n">
        <v>169</v>
      </c>
      <c r="E176" s="29" t="n"/>
      <c r="F176" s="28" t="n"/>
      <c r="G176" s="28" t="n"/>
      <c r="H176" s="28" t="n"/>
      <c r="I176" s="28" t="n"/>
      <c r="J176" s="28" t="n"/>
      <c r="K176" s="30" t="n"/>
      <c r="L176" s="31" t="n"/>
      <c r="M176" s="31" t="n"/>
      <c r="N176" s="28">
        <f>IF(AND(L176&lt;&gt;"",M176&lt;&gt;""),M176-L176,"")</f>
        <v/>
      </c>
      <c r="O176" s="29" t="n"/>
      <c r="P176" s="1" t="n"/>
      <c r="Q176" s="1" t="n"/>
      <c r="R176" s="1" t="n"/>
      <c r="S176" s="1" t="n"/>
      <c r="T176" s="1" t="n"/>
    </row>
    <row r="177" ht="15.75" customHeight="1">
      <c r="A177" s="1" t="n"/>
      <c r="B177" s="1" t="n"/>
      <c r="C177" s="1" t="n"/>
      <c r="D177" s="32" t="n">
        <v>170</v>
      </c>
      <c r="E177" s="33" t="n"/>
      <c r="F177" s="32" t="n"/>
      <c r="G177" s="32" t="n"/>
      <c r="H177" s="32" t="n"/>
      <c r="I177" s="32" t="n"/>
      <c r="J177" s="32" t="n"/>
      <c r="K177" s="34" t="n"/>
      <c r="L177" s="35" t="n"/>
      <c r="M177" s="35" t="n"/>
      <c r="N177" s="32">
        <f>IF(AND(L177&lt;&gt;"",M177&lt;&gt;""),M177-L177,"")</f>
        <v/>
      </c>
      <c r="O177" s="33" t="n"/>
      <c r="P177" s="1" t="n"/>
      <c r="Q177" s="1" t="n"/>
      <c r="R177" s="1" t="n"/>
      <c r="S177" s="1" t="n"/>
      <c r="T177" s="1" t="n"/>
    </row>
    <row r="178" ht="15.75" customHeight="1">
      <c r="A178" s="1" t="n"/>
      <c r="B178" s="1" t="n"/>
      <c r="C178" s="1" t="n"/>
      <c r="D178" s="28" t="n">
        <v>171</v>
      </c>
      <c r="E178" s="29" t="n"/>
      <c r="F178" s="28" t="n"/>
      <c r="G178" s="28" t="n"/>
      <c r="H178" s="28" t="n"/>
      <c r="I178" s="28" t="n"/>
      <c r="J178" s="28" t="n"/>
      <c r="K178" s="30" t="n"/>
      <c r="L178" s="31" t="n"/>
      <c r="M178" s="31" t="n"/>
      <c r="N178" s="28">
        <f>IF(AND(L178&lt;&gt;"",M178&lt;&gt;""),M178-L178,"")</f>
        <v/>
      </c>
      <c r="O178" s="29" t="n"/>
      <c r="P178" s="1" t="n"/>
      <c r="Q178" s="1" t="n"/>
      <c r="R178" s="1" t="n"/>
      <c r="S178" s="1" t="n"/>
      <c r="T178" s="1" t="n"/>
    </row>
    <row r="179" ht="15.75" customHeight="1">
      <c r="A179" s="1" t="n"/>
      <c r="B179" s="1" t="n"/>
      <c r="C179" s="1" t="n"/>
      <c r="D179" s="32" t="n">
        <v>172</v>
      </c>
      <c r="E179" s="33" t="n"/>
      <c r="F179" s="32" t="n"/>
      <c r="G179" s="32" t="n"/>
      <c r="H179" s="32" t="n"/>
      <c r="I179" s="32" t="n"/>
      <c r="J179" s="32" t="n"/>
      <c r="K179" s="34" t="n"/>
      <c r="L179" s="35" t="n"/>
      <c r="M179" s="35" t="n"/>
      <c r="N179" s="32">
        <f>IF(AND(L179&lt;&gt;"",M179&lt;&gt;""),M179-L179,"")</f>
        <v/>
      </c>
      <c r="O179" s="33" t="n"/>
      <c r="P179" s="1" t="n"/>
      <c r="Q179" s="1" t="n"/>
      <c r="R179" s="1" t="n"/>
      <c r="S179" s="1" t="n"/>
      <c r="T179" s="1" t="n"/>
    </row>
    <row r="180" ht="15.75" customHeight="1">
      <c r="A180" s="1" t="n"/>
      <c r="B180" s="1" t="n"/>
      <c r="C180" s="1" t="n"/>
      <c r="D180" s="28" t="n">
        <v>173</v>
      </c>
      <c r="E180" s="29" t="n"/>
      <c r="F180" s="28" t="n"/>
      <c r="G180" s="28" t="n"/>
      <c r="H180" s="28" t="n"/>
      <c r="I180" s="28" t="n"/>
      <c r="J180" s="28" t="n"/>
      <c r="K180" s="30" t="n"/>
      <c r="L180" s="31" t="n"/>
      <c r="M180" s="31" t="n"/>
      <c r="N180" s="28">
        <f>IF(AND(L180&lt;&gt;"",M180&lt;&gt;""),M180-L180,"")</f>
        <v/>
      </c>
      <c r="O180" s="29" t="n"/>
      <c r="P180" s="1" t="n"/>
      <c r="Q180" s="1" t="n"/>
      <c r="R180" s="1" t="n"/>
      <c r="S180" s="1" t="n"/>
      <c r="T180" s="1" t="n"/>
    </row>
    <row r="181" ht="15.75" customHeight="1">
      <c r="A181" s="1" t="n"/>
      <c r="B181" s="1" t="n"/>
      <c r="C181" s="1" t="n"/>
      <c r="D181" s="32" t="n">
        <v>174</v>
      </c>
      <c r="E181" s="33" t="n"/>
      <c r="F181" s="32" t="n"/>
      <c r="G181" s="32" t="n"/>
      <c r="H181" s="32" t="n"/>
      <c r="I181" s="32" t="n"/>
      <c r="J181" s="32" t="n"/>
      <c r="K181" s="34" t="n"/>
      <c r="L181" s="35" t="n"/>
      <c r="M181" s="35" t="n"/>
      <c r="N181" s="32">
        <f>IF(AND(L181&lt;&gt;"",M181&lt;&gt;""),M181-L181,"")</f>
        <v/>
      </c>
      <c r="O181" s="33" t="n"/>
      <c r="P181" s="1" t="n"/>
      <c r="Q181" s="1" t="n"/>
      <c r="R181" s="1" t="n"/>
      <c r="S181" s="1" t="n"/>
      <c r="T181" s="1" t="n"/>
    </row>
    <row r="182" ht="15.75" customHeight="1">
      <c r="A182" s="1" t="n"/>
      <c r="B182" s="1" t="n"/>
      <c r="C182" s="1" t="n"/>
      <c r="D182" s="28" t="n">
        <v>175</v>
      </c>
      <c r="E182" s="29" t="n"/>
      <c r="F182" s="28" t="n"/>
      <c r="G182" s="28" t="n"/>
      <c r="H182" s="28" t="n"/>
      <c r="I182" s="28" t="n"/>
      <c r="J182" s="28" t="n"/>
      <c r="K182" s="30" t="n"/>
      <c r="L182" s="31" t="n"/>
      <c r="M182" s="31" t="n"/>
      <c r="N182" s="28">
        <f>IF(AND(L182&lt;&gt;"",M182&lt;&gt;""),M182-L182,"")</f>
        <v/>
      </c>
      <c r="O182" s="29" t="n"/>
      <c r="P182" s="1" t="n"/>
      <c r="Q182" s="1" t="n"/>
      <c r="R182" s="1" t="n"/>
      <c r="S182" s="1" t="n"/>
      <c r="T182" s="1" t="n"/>
    </row>
    <row r="183" ht="15.75" customHeight="1">
      <c r="A183" s="1" t="n"/>
      <c r="B183" s="1" t="n"/>
      <c r="C183" s="1" t="n"/>
      <c r="D183" s="32" t="n">
        <v>176</v>
      </c>
      <c r="E183" s="33" t="n"/>
      <c r="F183" s="32" t="n"/>
      <c r="G183" s="32" t="n"/>
      <c r="H183" s="32" t="n"/>
      <c r="I183" s="32" t="n"/>
      <c r="J183" s="32" t="n"/>
      <c r="K183" s="34" t="n"/>
      <c r="L183" s="35" t="n"/>
      <c r="M183" s="35" t="n"/>
      <c r="N183" s="32">
        <f>IF(AND(L183&lt;&gt;"",M183&lt;&gt;""),M183-L183,"")</f>
        <v/>
      </c>
      <c r="O183" s="33" t="n"/>
      <c r="P183" s="1" t="n"/>
      <c r="Q183" s="1" t="n"/>
      <c r="R183" s="1" t="n"/>
      <c r="S183" s="1" t="n"/>
      <c r="T183" s="1" t="n"/>
    </row>
    <row r="184" ht="15.75" customHeight="1">
      <c r="A184" s="1" t="n"/>
      <c r="B184" s="1" t="n"/>
      <c r="C184" s="1" t="n"/>
      <c r="D184" s="28" t="n">
        <v>177</v>
      </c>
      <c r="E184" s="29" t="n"/>
      <c r="F184" s="28" t="n"/>
      <c r="G184" s="28" t="n"/>
      <c r="H184" s="28" t="n"/>
      <c r="I184" s="28" t="n"/>
      <c r="J184" s="28" t="n"/>
      <c r="K184" s="30" t="n"/>
      <c r="L184" s="31" t="n"/>
      <c r="M184" s="31" t="n"/>
      <c r="N184" s="28">
        <f>IF(AND(L184&lt;&gt;"",M184&lt;&gt;""),M184-L184,"")</f>
        <v/>
      </c>
      <c r="O184" s="29" t="n"/>
      <c r="P184" s="1" t="n"/>
      <c r="Q184" s="1" t="n"/>
      <c r="R184" s="1" t="n"/>
      <c r="S184" s="1" t="n"/>
      <c r="T184" s="1" t="n"/>
    </row>
    <row r="185" ht="15.75" customHeight="1">
      <c r="A185" s="1" t="n"/>
      <c r="B185" s="1" t="n"/>
      <c r="C185" s="1" t="n"/>
      <c r="D185" s="32" t="n">
        <v>178</v>
      </c>
      <c r="E185" s="33" t="n"/>
      <c r="F185" s="32" t="n"/>
      <c r="G185" s="32" t="n"/>
      <c r="H185" s="32" t="n"/>
      <c r="I185" s="32" t="n"/>
      <c r="J185" s="32" t="n"/>
      <c r="K185" s="34" t="n"/>
      <c r="L185" s="35" t="n"/>
      <c r="M185" s="35" t="n"/>
      <c r="N185" s="32">
        <f>IF(AND(L185&lt;&gt;"",M185&lt;&gt;""),M185-L185,"")</f>
        <v/>
      </c>
      <c r="O185" s="33" t="n"/>
      <c r="P185" s="1" t="n"/>
      <c r="Q185" s="1" t="n"/>
      <c r="R185" s="1" t="n"/>
      <c r="S185" s="1" t="n"/>
      <c r="T185" s="1" t="n"/>
    </row>
    <row r="186" ht="15.75" customHeight="1">
      <c r="A186" s="1" t="n"/>
      <c r="B186" s="1" t="n"/>
      <c r="C186" s="1" t="n"/>
      <c r="D186" s="28" t="n">
        <v>179</v>
      </c>
      <c r="E186" s="29" t="n"/>
      <c r="F186" s="28" t="n"/>
      <c r="G186" s="28" t="n"/>
      <c r="H186" s="28" t="n"/>
      <c r="I186" s="28" t="n"/>
      <c r="J186" s="28" t="n"/>
      <c r="K186" s="30" t="n"/>
      <c r="L186" s="31" t="n"/>
      <c r="M186" s="31" t="n"/>
      <c r="N186" s="28">
        <f>IF(AND(L186&lt;&gt;"",M186&lt;&gt;""),M186-L186,"")</f>
        <v/>
      </c>
      <c r="O186" s="29" t="n"/>
      <c r="P186" s="1" t="n"/>
      <c r="Q186" s="1" t="n"/>
      <c r="R186" s="1" t="n"/>
      <c r="S186" s="1" t="n"/>
      <c r="T186" s="1" t="n"/>
    </row>
    <row r="187" ht="15.75" customHeight="1">
      <c r="A187" s="1" t="n"/>
      <c r="B187" s="1" t="n"/>
      <c r="C187" s="1" t="n"/>
      <c r="D187" s="32" t="n">
        <v>180</v>
      </c>
      <c r="E187" s="33" t="n"/>
      <c r="F187" s="32" t="n"/>
      <c r="G187" s="32" t="n"/>
      <c r="H187" s="32" t="n"/>
      <c r="I187" s="32" t="n"/>
      <c r="J187" s="32" t="n"/>
      <c r="K187" s="34" t="n"/>
      <c r="L187" s="35" t="n"/>
      <c r="M187" s="35" t="n"/>
      <c r="N187" s="32">
        <f>IF(AND(L187&lt;&gt;"",M187&lt;&gt;""),M187-L187,"")</f>
        <v/>
      </c>
      <c r="O187" s="33" t="n"/>
      <c r="P187" s="1" t="n"/>
      <c r="Q187" s="1" t="n"/>
      <c r="R187" s="1" t="n"/>
      <c r="S187" s="1" t="n"/>
      <c r="T187" s="1" t="n"/>
    </row>
    <row r="188" ht="15.75" customHeight="1">
      <c r="A188" s="1" t="n"/>
      <c r="B188" s="1" t="n"/>
      <c r="C188" s="1" t="n"/>
      <c r="D188" s="28" t="n">
        <v>181</v>
      </c>
      <c r="E188" s="29" t="n"/>
      <c r="F188" s="28" t="n"/>
      <c r="G188" s="28" t="n"/>
      <c r="H188" s="28" t="n"/>
      <c r="I188" s="28" t="n"/>
      <c r="J188" s="28" t="n"/>
      <c r="K188" s="30" t="n"/>
      <c r="L188" s="31" t="n"/>
      <c r="M188" s="31" t="n"/>
      <c r="N188" s="28">
        <f>IF(AND(L188&lt;&gt;"",M188&lt;&gt;""),M188-L188,"")</f>
        <v/>
      </c>
      <c r="O188" s="29" t="n"/>
      <c r="P188" s="1" t="n"/>
      <c r="Q188" s="1" t="n"/>
      <c r="R188" s="1" t="n"/>
      <c r="S188" s="1" t="n"/>
      <c r="T188" s="1" t="n"/>
    </row>
    <row r="189" ht="15.75" customHeight="1">
      <c r="A189" s="1" t="n"/>
      <c r="B189" s="1" t="n"/>
      <c r="C189" s="1" t="n"/>
      <c r="D189" s="32" t="n">
        <v>182</v>
      </c>
      <c r="E189" s="33" t="n"/>
      <c r="F189" s="32" t="n"/>
      <c r="G189" s="32" t="n"/>
      <c r="H189" s="32" t="n"/>
      <c r="I189" s="32" t="n"/>
      <c r="J189" s="32" t="n"/>
      <c r="K189" s="34" t="n"/>
      <c r="L189" s="35" t="n"/>
      <c r="M189" s="35" t="n"/>
      <c r="N189" s="32">
        <f>IF(AND(L189&lt;&gt;"",M189&lt;&gt;""),M189-L189,"")</f>
        <v/>
      </c>
      <c r="O189" s="33" t="n"/>
      <c r="P189" s="1" t="n"/>
      <c r="Q189" s="1" t="n"/>
      <c r="R189" s="1" t="n"/>
      <c r="S189" s="1" t="n"/>
      <c r="T189" s="1" t="n"/>
    </row>
    <row r="190" ht="15.75" customHeight="1">
      <c r="A190" s="1" t="n"/>
      <c r="B190" s="1" t="n"/>
      <c r="C190" s="1" t="n"/>
      <c r="D190" s="28" t="n">
        <v>183</v>
      </c>
      <c r="E190" s="29" t="n"/>
      <c r="F190" s="28" t="n"/>
      <c r="G190" s="28" t="n"/>
      <c r="H190" s="28" t="n"/>
      <c r="I190" s="28" t="n"/>
      <c r="J190" s="28" t="n"/>
      <c r="K190" s="30" t="n"/>
      <c r="L190" s="31" t="n"/>
      <c r="M190" s="31" t="n"/>
      <c r="N190" s="28">
        <f>IF(AND(L190&lt;&gt;"",M190&lt;&gt;""),M190-L190,"")</f>
        <v/>
      </c>
      <c r="O190" s="29" t="n"/>
      <c r="P190" s="1" t="n"/>
      <c r="Q190" s="1" t="n"/>
      <c r="R190" s="1" t="n"/>
      <c r="S190" s="1" t="n"/>
      <c r="T190" s="1" t="n"/>
    </row>
    <row r="191" ht="15.75" customHeight="1">
      <c r="A191" s="1" t="n"/>
      <c r="B191" s="1" t="n"/>
      <c r="C191" s="1" t="n"/>
      <c r="D191" s="32" t="n">
        <v>184</v>
      </c>
      <c r="E191" s="33" t="n"/>
      <c r="F191" s="32" t="n"/>
      <c r="G191" s="32" t="n"/>
      <c r="H191" s="32" t="n"/>
      <c r="I191" s="32" t="n"/>
      <c r="J191" s="32" t="n"/>
      <c r="K191" s="34" t="n"/>
      <c r="L191" s="35" t="n"/>
      <c r="M191" s="35" t="n"/>
      <c r="N191" s="32">
        <f>IF(AND(L191&lt;&gt;"",M191&lt;&gt;""),M191-L191,"")</f>
        <v/>
      </c>
      <c r="O191" s="33" t="n"/>
      <c r="P191" s="1" t="n"/>
      <c r="Q191" s="1" t="n"/>
      <c r="R191" s="1" t="n"/>
      <c r="S191" s="1" t="n"/>
      <c r="T191" s="1" t="n"/>
    </row>
    <row r="192" ht="15.75" customHeight="1">
      <c r="A192" s="1" t="n"/>
      <c r="B192" s="1" t="n"/>
      <c r="C192" s="1" t="n"/>
      <c r="D192" s="28" t="n">
        <v>185</v>
      </c>
      <c r="E192" s="29" t="n"/>
      <c r="F192" s="28" t="n"/>
      <c r="G192" s="28" t="n"/>
      <c r="H192" s="28" t="n"/>
      <c r="I192" s="28" t="n"/>
      <c r="J192" s="28" t="n"/>
      <c r="K192" s="30" t="n"/>
      <c r="L192" s="31" t="n"/>
      <c r="M192" s="31" t="n"/>
      <c r="N192" s="28">
        <f>IF(AND(L192&lt;&gt;"",M192&lt;&gt;""),M192-L192,"")</f>
        <v/>
      </c>
      <c r="O192" s="29" t="n"/>
      <c r="P192" s="1" t="n"/>
      <c r="Q192" s="1" t="n"/>
      <c r="R192" s="1" t="n"/>
      <c r="S192" s="1" t="n"/>
      <c r="T192" s="1" t="n"/>
    </row>
    <row r="193" ht="15.75" customHeight="1">
      <c r="A193" s="1" t="n"/>
      <c r="B193" s="1" t="n"/>
      <c r="C193" s="1" t="n"/>
      <c r="D193" s="32" t="n">
        <v>186</v>
      </c>
      <c r="E193" s="33" t="n"/>
      <c r="F193" s="32" t="n"/>
      <c r="G193" s="32" t="n"/>
      <c r="H193" s="32" t="n"/>
      <c r="I193" s="32" t="n"/>
      <c r="J193" s="32" t="n"/>
      <c r="K193" s="34" t="n"/>
      <c r="L193" s="35" t="n"/>
      <c r="M193" s="35" t="n"/>
      <c r="N193" s="32">
        <f>IF(AND(L193&lt;&gt;"",M193&lt;&gt;""),M193-L193,"")</f>
        <v/>
      </c>
      <c r="O193" s="33" t="n"/>
      <c r="P193" s="1" t="n"/>
      <c r="Q193" s="1" t="n"/>
      <c r="R193" s="1" t="n"/>
      <c r="S193" s="1" t="n"/>
      <c r="T193" s="1" t="n"/>
    </row>
    <row r="194" ht="15.75" customHeight="1">
      <c r="A194" s="1" t="n"/>
      <c r="B194" s="1" t="n"/>
      <c r="C194" s="1" t="n"/>
      <c r="D194" s="28" t="n">
        <v>187</v>
      </c>
      <c r="E194" s="29" t="n"/>
      <c r="F194" s="28" t="n"/>
      <c r="G194" s="28" t="n"/>
      <c r="H194" s="28" t="n"/>
      <c r="I194" s="28" t="n"/>
      <c r="J194" s="28" t="n"/>
      <c r="K194" s="30" t="n"/>
      <c r="L194" s="31" t="n"/>
      <c r="M194" s="31" t="n"/>
      <c r="N194" s="28">
        <f>IF(AND(L194&lt;&gt;"",M194&lt;&gt;""),M194-L194,"")</f>
        <v/>
      </c>
      <c r="O194" s="29" t="n"/>
      <c r="P194" s="1" t="n"/>
      <c r="Q194" s="1" t="n"/>
      <c r="R194" s="1" t="n"/>
      <c r="S194" s="1" t="n"/>
      <c r="T194" s="1" t="n"/>
    </row>
    <row r="195" ht="15.75" customHeight="1">
      <c r="A195" s="1" t="n"/>
      <c r="B195" s="1" t="n"/>
      <c r="C195" s="1" t="n"/>
      <c r="D195" s="32" t="n">
        <v>188</v>
      </c>
      <c r="E195" s="33" t="n"/>
      <c r="F195" s="32" t="n"/>
      <c r="G195" s="32" t="n"/>
      <c r="H195" s="32" t="n"/>
      <c r="I195" s="32" t="n"/>
      <c r="J195" s="32" t="n"/>
      <c r="K195" s="34" t="n"/>
      <c r="L195" s="35" t="n"/>
      <c r="M195" s="35" t="n"/>
      <c r="N195" s="32">
        <f>IF(AND(L195&lt;&gt;"",M195&lt;&gt;""),M195-L195,"")</f>
        <v/>
      </c>
      <c r="O195" s="33" t="n"/>
      <c r="P195" s="1" t="n"/>
      <c r="Q195" s="1" t="n"/>
      <c r="R195" s="1" t="n"/>
      <c r="S195" s="1" t="n"/>
      <c r="T195" s="1" t="n"/>
    </row>
    <row r="196" ht="15.75" customHeight="1">
      <c r="A196" s="1" t="n"/>
      <c r="B196" s="1" t="n"/>
      <c r="C196" s="1" t="n"/>
      <c r="D196" s="28" t="n">
        <v>189</v>
      </c>
      <c r="E196" s="29" t="n"/>
      <c r="F196" s="28" t="n"/>
      <c r="G196" s="28" t="n"/>
      <c r="H196" s="28" t="n"/>
      <c r="I196" s="28" t="n"/>
      <c r="J196" s="28" t="n"/>
      <c r="K196" s="30" t="n"/>
      <c r="L196" s="31" t="n"/>
      <c r="M196" s="31" t="n"/>
      <c r="N196" s="28">
        <f>IF(AND(L196&lt;&gt;"",M196&lt;&gt;""),M196-L196,"")</f>
        <v/>
      </c>
      <c r="O196" s="29" t="n"/>
      <c r="P196" s="1" t="n"/>
      <c r="Q196" s="1" t="n"/>
      <c r="R196" s="1" t="n"/>
      <c r="S196" s="1" t="n"/>
      <c r="T196" s="1" t="n"/>
    </row>
    <row r="197" ht="15.75" customHeight="1">
      <c r="A197" s="1" t="n"/>
      <c r="B197" s="1" t="n"/>
      <c r="C197" s="1" t="n"/>
      <c r="D197" s="32" t="n">
        <v>190</v>
      </c>
      <c r="E197" s="33" t="n"/>
      <c r="F197" s="32" t="n"/>
      <c r="G197" s="32" t="n"/>
      <c r="H197" s="32" t="n"/>
      <c r="I197" s="32" t="n"/>
      <c r="J197" s="32" t="n"/>
      <c r="K197" s="34" t="n"/>
      <c r="L197" s="35" t="n"/>
      <c r="M197" s="35" t="n"/>
      <c r="N197" s="32">
        <f>IF(AND(L197&lt;&gt;"",M197&lt;&gt;""),M197-L197,"")</f>
        <v/>
      </c>
      <c r="O197" s="33" t="n"/>
      <c r="P197" s="1" t="n"/>
      <c r="Q197" s="1" t="n"/>
      <c r="R197" s="1" t="n"/>
      <c r="S197" s="1" t="n"/>
      <c r="T197" s="1" t="n"/>
    </row>
    <row r="198" ht="15.75" customHeight="1">
      <c r="A198" s="1" t="n"/>
      <c r="B198" s="1" t="n"/>
      <c r="C198" s="1" t="n"/>
      <c r="D198" s="28" t="n">
        <v>191</v>
      </c>
      <c r="E198" s="29" t="n"/>
      <c r="F198" s="28" t="n"/>
      <c r="G198" s="28" t="n"/>
      <c r="H198" s="28" t="n"/>
      <c r="I198" s="28" t="n"/>
      <c r="J198" s="28" t="n"/>
      <c r="K198" s="30" t="n"/>
      <c r="L198" s="31" t="n"/>
      <c r="M198" s="31" t="n"/>
      <c r="N198" s="28">
        <f>IF(AND(L198&lt;&gt;"",M198&lt;&gt;""),M198-L198,"")</f>
        <v/>
      </c>
      <c r="O198" s="29" t="n"/>
      <c r="P198" s="1" t="n"/>
      <c r="Q198" s="1" t="n"/>
      <c r="R198" s="1" t="n"/>
      <c r="S198" s="1" t="n"/>
      <c r="T198" s="1" t="n"/>
    </row>
    <row r="199" ht="15.75" customHeight="1">
      <c r="A199" s="1" t="n"/>
      <c r="B199" s="1" t="n"/>
      <c r="C199" s="1" t="n"/>
      <c r="D199" s="32" t="n">
        <v>192</v>
      </c>
      <c r="E199" s="33" t="n"/>
      <c r="F199" s="32" t="n"/>
      <c r="G199" s="32" t="n"/>
      <c r="H199" s="32" t="n"/>
      <c r="I199" s="32" t="n"/>
      <c r="J199" s="32" t="n"/>
      <c r="K199" s="34" t="n"/>
      <c r="L199" s="35" t="n"/>
      <c r="M199" s="35" t="n"/>
      <c r="N199" s="32">
        <f>IF(AND(L199&lt;&gt;"",M199&lt;&gt;""),M199-L199,"")</f>
        <v/>
      </c>
      <c r="O199" s="33" t="n"/>
      <c r="P199" s="1" t="n"/>
      <c r="Q199" s="1" t="n"/>
      <c r="R199" s="1" t="n"/>
      <c r="S199" s="1" t="n"/>
      <c r="T199" s="1" t="n"/>
    </row>
    <row r="200" ht="15.75" customHeight="1">
      <c r="A200" s="1" t="n"/>
      <c r="B200" s="1" t="n"/>
      <c r="C200" s="1" t="n"/>
      <c r="D200" s="28" t="n">
        <v>193</v>
      </c>
      <c r="E200" s="29" t="n"/>
      <c r="F200" s="28" t="n"/>
      <c r="G200" s="28" t="n"/>
      <c r="H200" s="28" t="n"/>
      <c r="I200" s="28" t="n"/>
      <c r="J200" s="28" t="n"/>
      <c r="K200" s="30" t="n"/>
      <c r="L200" s="31" t="n"/>
      <c r="M200" s="31" t="n"/>
      <c r="N200" s="28">
        <f>IF(AND(L200&lt;&gt;"",M200&lt;&gt;""),M200-L200,"")</f>
        <v/>
      </c>
      <c r="O200" s="29" t="n"/>
      <c r="P200" s="1" t="n"/>
      <c r="Q200" s="1" t="n"/>
      <c r="R200" s="1" t="n"/>
      <c r="S200" s="1" t="n"/>
      <c r="T200" s="1" t="n"/>
    </row>
    <row r="201" ht="15.75" customHeight="1">
      <c r="A201" s="1" t="n"/>
      <c r="B201" s="1" t="n"/>
      <c r="C201" s="1" t="n"/>
      <c r="D201" s="32" t="n">
        <v>194</v>
      </c>
      <c r="E201" s="33" t="n"/>
      <c r="F201" s="32" t="n"/>
      <c r="G201" s="32" t="n"/>
      <c r="H201" s="32" t="n"/>
      <c r="I201" s="32" t="n"/>
      <c r="J201" s="32" t="n"/>
      <c r="K201" s="34" t="n"/>
      <c r="L201" s="35" t="n"/>
      <c r="M201" s="35" t="n"/>
      <c r="N201" s="32">
        <f>IF(AND(L201&lt;&gt;"",M201&lt;&gt;""),M201-L201,"")</f>
        <v/>
      </c>
      <c r="O201" s="33" t="n"/>
      <c r="P201" s="1" t="n"/>
      <c r="Q201" s="1" t="n"/>
      <c r="R201" s="1" t="n"/>
      <c r="S201" s="1" t="n"/>
      <c r="T201" s="1" t="n"/>
    </row>
    <row r="202" ht="15.75" customHeight="1">
      <c r="A202" s="1" t="n"/>
      <c r="B202" s="1" t="n"/>
      <c r="C202" s="1" t="n"/>
      <c r="D202" s="28" t="n">
        <v>195</v>
      </c>
      <c r="E202" s="29" t="n"/>
      <c r="F202" s="28" t="n"/>
      <c r="G202" s="28" t="n"/>
      <c r="H202" s="28" t="n"/>
      <c r="I202" s="28" t="n"/>
      <c r="J202" s="28" t="n"/>
      <c r="K202" s="30" t="n"/>
      <c r="L202" s="31" t="n"/>
      <c r="M202" s="31" t="n"/>
      <c r="N202" s="28">
        <f>IF(AND(L202&lt;&gt;"",M202&lt;&gt;""),M202-L202,"")</f>
        <v/>
      </c>
      <c r="O202" s="29" t="n"/>
      <c r="P202" s="1" t="n"/>
      <c r="Q202" s="1" t="n"/>
      <c r="R202" s="1" t="n"/>
      <c r="S202" s="1" t="n"/>
      <c r="T202" s="1" t="n"/>
    </row>
    <row r="203" ht="15.75" customHeight="1">
      <c r="A203" s="1" t="n"/>
      <c r="B203" s="1" t="n"/>
      <c r="C203" s="1" t="n"/>
      <c r="D203" s="32" t="n">
        <v>196</v>
      </c>
      <c r="E203" s="33" t="n"/>
      <c r="F203" s="32" t="n"/>
      <c r="G203" s="32" t="n"/>
      <c r="H203" s="32" t="n"/>
      <c r="I203" s="32" t="n"/>
      <c r="J203" s="32" t="n"/>
      <c r="K203" s="34" t="n"/>
      <c r="L203" s="35" t="n"/>
      <c r="M203" s="35" t="n"/>
      <c r="N203" s="32">
        <f>IF(AND(L203&lt;&gt;"",M203&lt;&gt;""),M203-L203,"")</f>
        <v/>
      </c>
      <c r="O203" s="33" t="n"/>
      <c r="P203" s="1" t="n"/>
      <c r="Q203" s="1" t="n"/>
      <c r="R203" s="1" t="n"/>
      <c r="S203" s="1" t="n"/>
      <c r="T203" s="1" t="n"/>
    </row>
    <row r="204" ht="15.75" customHeight="1">
      <c r="A204" s="1" t="n"/>
      <c r="B204" s="1" t="n"/>
      <c r="C204" s="1" t="n"/>
      <c r="D204" s="28" t="n">
        <v>197</v>
      </c>
      <c r="E204" s="29" t="n"/>
      <c r="F204" s="28" t="n"/>
      <c r="G204" s="28" t="n"/>
      <c r="H204" s="28" t="n"/>
      <c r="I204" s="28" t="n"/>
      <c r="J204" s="28" t="n"/>
      <c r="K204" s="30" t="n"/>
      <c r="L204" s="31" t="n"/>
      <c r="M204" s="31" t="n"/>
      <c r="N204" s="28">
        <f>IF(AND(L204&lt;&gt;"",M204&lt;&gt;""),M204-L204,"")</f>
        <v/>
      </c>
      <c r="O204" s="29" t="n"/>
      <c r="P204" s="1" t="n"/>
      <c r="Q204" s="1" t="n"/>
      <c r="R204" s="1" t="n"/>
      <c r="S204" s="1" t="n"/>
      <c r="T204" s="1" t="n"/>
    </row>
    <row r="205" ht="15.75" customHeight="1">
      <c r="A205" s="1" t="n"/>
      <c r="B205" s="1" t="n"/>
      <c r="C205" s="1" t="n"/>
      <c r="D205" s="32" t="n">
        <v>198</v>
      </c>
      <c r="E205" s="33" t="n"/>
      <c r="F205" s="32" t="n"/>
      <c r="G205" s="32" t="n"/>
      <c r="H205" s="32" t="n"/>
      <c r="I205" s="32" t="n"/>
      <c r="J205" s="32" t="n"/>
      <c r="K205" s="34" t="n"/>
      <c r="L205" s="35" t="n"/>
      <c r="M205" s="35" t="n"/>
      <c r="N205" s="32">
        <f>IF(AND(L205&lt;&gt;"",M205&lt;&gt;""),M205-L205,"")</f>
        <v/>
      </c>
      <c r="O205" s="33" t="n"/>
      <c r="P205" s="1" t="n"/>
      <c r="Q205" s="1" t="n"/>
      <c r="R205" s="1" t="n"/>
      <c r="S205" s="1" t="n"/>
      <c r="T205" s="1" t="n"/>
    </row>
    <row r="206" ht="15.75" customHeight="1">
      <c r="A206" s="1" t="n"/>
      <c r="B206" s="1" t="n"/>
      <c r="C206" s="1" t="n"/>
      <c r="D206" s="28" t="n">
        <v>199</v>
      </c>
      <c r="E206" s="29" t="n"/>
      <c r="F206" s="28" t="n"/>
      <c r="G206" s="28" t="n"/>
      <c r="H206" s="28" t="n"/>
      <c r="I206" s="28" t="n"/>
      <c r="J206" s="28" t="n"/>
      <c r="K206" s="30" t="n"/>
      <c r="L206" s="31" t="n"/>
      <c r="M206" s="31" t="n"/>
      <c r="N206" s="28">
        <f>IF(AND(L206&lt;&gt;"",M206&lt;&gt;""),M206-L206,"")</f>
        <v/>
      </c>
      <c r="O206" s="29" t="n"/>
      <c r="P206" s="1" t="n"/>
      <c r="Q206" s="1" t="n"/>
      <c r="R206" s="1" t="n"/>
      <c r="S206" s="1" t="n"/>
      <c r="T206" s="1" t="n"/>
    </row>
    <row r="207" ht="15.75" customHeight="1">
      <c r="A207" s="1" t="n"/>
      <c r="B207" s="1" t="n"/>
      <c r="C207" s="1" t="n"/>
      <c r="D207" s="32" t="n">
        <v>200</v>
      </c>
      <c r="E207" s="33" t="n"/>
      <c r="F207" s="32" t="n"/>
      <c r="G207" s="32" t="n"/>
      <c r="H207" s="32" t="n"/>
      <c r="I207" s="32" t="n"/>
      <c r="J207" s="32" t="n"/>
      <c r="K207" s="34" t="n"/>
      <c r="L207" s="35" t="n"/>
      <c r="M207" s="35" t="n"/>
      <c r="N207" s="32">
        <f>IF(AND(L207&lt;&gt;"",M207&lt;&gt;""),M207-L207,"")</f>
        <v/>
      </c>
      <c r="O207" s="33" t="n"/>
      <c r="P207" s="1" t="n"/>
      <c r="Q207" s="1" t="n"/>
      <c r="R207" s="1" t="n"/>
      <c r="S207" s="1" t="n"/>
      <c r="T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</row>
  </sheetData>
  <autoFilter ref="D7:O207"/>
  <mergeCells count="1">
    <mergeCell ref="D5:O5"/>
  </mergeCells>
  <conditionalFormatting sqref="D8:O207">
    <cfRule type="expression" priority="1" dxfId="0">
      <formula>$H8="Finished"</formula>
    </cfRule>
    <cfRule type="expression" priority="2" dxfId="1">
      <formula>$H8="Reading"</formula>
    </cfRule>
    <cfRule type="expression" priority="3" dxfId="2">
      <formula>$H8="DNF"</formula>
    </cfRule>
  </conditionalFormatting>
  <conditionalFormatting sqref="I8:I207">
    <cfRule type="expression" priority="4" dxfId="3">
      <formula>$I8=5</formula>
    </cfRule>
  </conditionalFormatting>
  <dataValidations count="4">
    <dataValidation sqref="G8:G207" showDropDown="0" showInputMessage="0" showErrorMessage="0" allowBlank="1" errorTitle="Invalid Entry" error="Please select from the dropdown" type="list">
      <formula1>"Fantasy,Sci-Fi,Romance,Mystery/Thriller,Non-Fiction,Biography,Self-Help,Historical Fiction,Horror,Literary Fiction,YA,Poetry,Graphic Novel,Business,Science,Philosophy,Other"</formula1>
    </dataValidation>
    <dataValidation sqref="H8:H207" showDropDown="0" showInputMessage="0" showErrorMessage="0" allowBlank="1" errorTitle="Invalid Entry" error="Please select from the dropdown" type="list">
      <formula1>"Reading,Finished,DNF,TBR,On Hold"</formula1>
    </dataValidation>
    <dataValidation sqref="I8:I207" showDropDown="0" showInputMessage="0" showErrorMessage="0" allowBlank="1" errorTitle="Invalid Entry" error="Please select from the dropdown" type="list">
      <formula1>"1,2,3,4,5"</formula1>
    </dataValidation>
    <dataValidation sqref="J8:J207" showDropDown="0" showInputMessage="0" showErrorMessage="0" allowBlank="1" errorTitle="Invalid Entry" error="Please select from the dropdown" type="list">
      <formula1>"Physical,eBook,Audiobook"</formula1>
    </dataValidation>
  </dataValidations>
  <hyperlinks>
    <hyperlink ref="B5" location="'Instructions'!D1" display="Instructions"/>
    <hyperlink ref="B6" location="'Setup'!D1" display="Setup"/>
    <hyperlink ref="B10" location="'Books Gallery'!D1" display="Books Gallery"/>
    <hyperlink ref="B13" location="'Reading Calendar'!D1" display="Reading Calendar"/>
    <hyperlink ref="B14" location="'Wishlist'!D1" display="Wishlist"/>
    <hyperlink ref="B17" location="'Dashboard'!D1" display="Dashboard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1B29A"/>
    <outlinePr summaryBelow="1" summaryRight="1"/>
    <pageSetUpPr/>
  </sheetPr>
  <dimension ref="A1:Y54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15.75" customHeight="1">
      <c r="A1" s="10" t="n"/>
      <c r="B1" s="10" t="n"/>
      <c r="C1" s="1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>
      <c r="A2" s="10" t="n"/>
      <c r="B2" s="12" t="inlineStr">
        <is>
          <t>📚 BOOK TRACKER</t>
        </is>
      </c>
      <c r="C2" s="1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>
      <c r="A3" s="10" t="n"/>
      <c r="B3" s="10" t="n"/>
      <c r="C3" s="1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>
      <c r="A4" s="10" t="n"/>
      <c r="B4" s="14" t="inlineStr">
        <is>
          <t>SETUP</t>
        </is>
      </c>
      <c r="C4" s="1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28" customHeight="1">
      <c r="A5" s="10" t="n"/>
      <c r="B5" s="15" t="inlineStr">
        <is>
          <t>Instructions</t>
        </is>
      </c>
      <c r="C5" s="11" t="n"/>
      <c r="D5" s="13" t="inlineStr">
        <is>
          <t>🖼️  BOOKS GALLERY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>
      <c r="A6" s="10" t="n"/>
      <c r="B6" s="15" t="inlineStr">
        <is>
          <t>Setup</t>
        </is>
      </c>
      <c r="C6" s="1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>
      <c r="A7" s="10" t="n"/>
      <c r="B7" s="10" t="n"/>
      <c r="C7" s="11" t="n"/>
      <c r="D7" s="36">
        <f>IF('Book Tracker'!E8&lt;&gt;"",LEFT('Book Tracker'!E8,1),"")</f>
        <v/>
      </c>
      <c r="E7" s="37" t="n"/>
      <c r="F7" s="37" t="n"/>
      <c r="G7" s="37" t="n"/>
      <c r="H7" s="1" t="n"/>
      <c r="I7" s="36">
        <f>IF('Book Tracker'!E9&lt;&gt;"",LEFT('Book Tracker'!E9,1),"")</f>
        <v/>
      </c>
      <c r="J7" s="37" t="n"/>
      <c r="K7" s="37" t="n"/>
      <c r="L7" s="37" t="n"/>
      <c r="M7" s="1" t="n"/>
      <c r="N7" s="36">
        <f>IF('Book Tracker'!E10&lt;&gt;"",LEFT('Book Tracker'!E10,1),"")</f>
        <v/>
      </c>
      <c r="O7" s="37" t="n"/>
      <c r="P7" s="37" t="n"/>
      <c r="Q7" s="37" t="n"/>
      <c r="R7" s="1" t="n"/>
      <c r="S7" s="36">
        <f>IF('Book Tracker'!E11&lt;&gt;"",LEFT('Book Tracker'!E11,1),"")</f>
        <v/>
      </c>
      <c r="T7" s="37" t="n"/>
      <c r="U7" s="37" t="n"/>
      <c r="V7" s="37" t="n"/>
      <c r="W7" s="1" t="n"/>
      <c r="X7" s="1" t="n"/>
      <c r="Y7" s="1" t="n"/>
    </row>
    <row r="8" ht="15.75" customHeight="1">
      <c r="A8" s="10" t="n"/>
      <c r="B8" s="14" t="inlineStr">
        <is>
          <t>LIBRARY</t>
        </is>
      </c>
      <c r="C8" s="11" t="n"/>
      <c r="D8" s="37" t="n"/>
      <c r="E8" s="37" t="n"/>
      <c r="F8" s="37" t="n"/>
      <c r="G8" s="37" t="n"/>
      <c r="H8" s="1" t="n"/>
      <c r="I8" s="37" t="n"/>
      <c r="J8" s="37" t="n"/>
      <c r="K8" s="37" t="n"/>
      <c r="L8" s="37" t="n"/>
      <c r="M8" s="1" t="n"/>
      <c r="N8" s="37" t="n"/>
      <c r="O8" s="37" t="n"/>
      <c r="P8" s="37" t="n"/>
      <c r="Q8" s="37" t="n"/>
      <c r="R8" s="1" t="n"/>
      <c r="S8" s="37" t="n"/>
      <c r="T8" s="37" t="n"/>
      <c r="U8" s="37" t="n"/>
      <c r="V8" s="37" t="n"/>
      <c r="W8" s="1" t="n"/>
      <c r="X8" s="1" t="n"/>
      <c r="Y8" s="1" t="n"/>
    </row>
    <row r="9" ht="15.75" customHeight="1">
      <c r="A9" s="10" t="n"/>
      <c r="B9" s="15" t="inlineStr">
        <is>
          <t>Book Tracker</t>
        </is>
      </c>
      <c r="C9" s="11" t="n"/>
      <c r="D9" s="37" t="n"/>
      <c r="E9" s="37" t="n"/>
      <c r="F9" s="37" t="n"/>
      <c r="G9" s="37" t="n"/>
      <c r="H9" s="1" t="n"/>
      <c r="I9" s="37" t="n"/>
      <c r="J9" s="37" t="n"/>
      <c r="K9" s="37" t="n"/>
      <c r="L9" s="37" t="n"/>
      <c r="M9" s="1" t="n"/>
      <c r="N9" s="37" t="n"/>
      <c r="O9" s="37" t="n"/>
      <c r="P9" s="37" t="n"/>
      <c r="Q9" s="37" t="n"/>
      <c r="R9" s="1" t="n"/>
      <c r="S9" s="37" t="n"/>
      <c r="T9" s="37" t="n"/>
      <c r="U9" s="37" t="n"/>
      <c r="V9" s="37" t="n"/>
      <c r="W9" s="1" t="n"/>
      <c r="X9" s="1" t="n"/>
      <c r="Y9" s="1" t="n"/>
    </row>
    <row r="10" ht="15.75" customHeight="1">
      <c r="A10" s="16" t="n"/>
      <c r="B10" s="17" t="inlineStr">
        <is>
          <t>Books Gallery</t>
        </is>
      </c>
      <c r="C10" s="18" t="n"/>
      <c r="D10" s="38">
        <f>IF('Book Tracker'!E8&lt;&gt;"",'Book Tracker'!E8,"")</f>
        <v/>
      </c>
      <c r="E10" s="1" t="n"/>
      <c r="F10" s="1" t="n"/>
      <c r="G10" s="1" t="n"/>
      <c r="H10" s="1" t="n"/>
      <c r="I10" s="38">
        <f>IF('Book Tracker'!E9&lt;&gt;"",'Book Tracker'!E9,"")</f>
        <v/>
      </c>
      <c r="J10" s="1" t="n"/>
      <c r="K10" s="1" t="n"/>
      <c r="L10" s="1" t="n"/>
      <c r="M10" s="1" t="n"/>
      <c r="N10" s="38">
        <f>IF('Book Tracker'!E10&lt;&gt;"",'Book Tracker'!E10,"")</f>
        <v/>
      </c>
      <c r="O10" s="1" t="n"/>
      <c r="P10" s="1" t="n"/>
      <c r="Q10" s="1" t="n"/>
      <c r="R10" s="1" t="n"/>
      <c r="S10" s="38">
        <f>IF('Book Tracker'!E11&lt;&gt;"",'Book Tracker'!E11,"")</f>
        <v/>
      </c>
      <c r="T10" s="1" t="n"/>
      <c r="U10" s="1" t="n"/>
      <c r="V10" s="1" t="n"/>
      <c r="W10" s="1" t="n"/>
      <c r="X10" s="1" t="n"/>
      <c r="Y10" s="1" t="n"/>
    </row>
    <row r="11" ht="15.75" customHeight="1">
      <c r="A11" s="10" t="n"/>
      <c r="B11" s="10" t="n"/>
      <c r="C11" s="11" t="n"/>
      <c r="D11" s="39">
        <f>IF('Book Tracker'!F8&lt;&gt;"",'Book Tracker'!F8,"")</f>
        <v/>
      </c>
      <c r="E11" s="1" t="n"/>
      <c r="F11" s="1" t="n"/>
      <c r="G11" s="1" t="n"/>
      <c r="H11" s="1" t="n"/>
      <c r="I11" s="39">
        <f>IF('Book Tracker'!F9&lt;&gt;"",'Book Tracker'!F9,"")</f>
        <v/>
      </c>
      <c r="J11" s="1" t="n"/>
      <c r="K11" s="1" t="n"/>
      <c r="L11" s="1" t="n"/>
      <c r="M11" s="1" t="n"/>
      <c r="N11" s="39">
        <f>IF('Book Tracker'!F10&lt;&gt;"",'Book Tracker'!F10,"")</f>
        <v/>
      </c>
      <c r="O11" s="1" t="n"/>
      <c r="P11" s="1" t="n"/>
      <c r="Q11" s="1" t="n"/>
      <c r="R11" s="1" t="n"/>
      <c r="S11" s="39">
        <f>IF('Book Tracker'!F11&lt;&gt;"",'Book Tracker'!F11,"")</f>
        <v/>
      </c>
      <c r="T11" s="1" t="n"/>
      <c r="U11" s="1" t="n"/>
      <c r="V11" s="1" t="n"/>
      <c r="W11" s="1" t="n"/>
      <c r="X11" s="1" t="n"/>
      <c r="Y11" s="1" t="n"/>
    </row>
    <row r="12" ht="15.75" customHeight="1">
      <c r="A12" s="10" t="n"/>
      <c r="B12" s="14" t="inlineStr">
        <is>
          <t>PLANNING</t>
        </is>
      </c>
      <c r="C12" s="11" t="n"/>
      <c r="D12" s="40">
        <f>IF('Book Tracker'!I8&lt;&gt;"",REPT("★",'Book Tracker'!I8)&amp;REPT("☆",5-'Book Tracker'!I8),"")&amp;IF('Book Tracker'!G8&lt;&gt;""," · "&amp;'Book Tracker'!G8,"")</f>
        <v/>
      </c>
      <c r="E12" s="1" t="n"/>
      <c r="F12" s="1" t="n"/>
      <c r="G12" s="1" t="n"/>
      <c r="H12" s="1" t="n"/>
      <c r="I12" s="40">
        <f>IF('Book Tracker'!I9&lt;&gt;"",REPT("★",'Book Tracker'!I9)&amp;REPT("☆",5-'Book Tracker'!I9),"")&amp;IF('Book Tracker'!G9&lt;&gt;""," · "&amp;'Book Tracker'!G9,"")</f>
        <v/>
      </c>
      <c r="J12" s="1" t="n"/>
      <c r="K12" s="1" t="n"/>
      <c r="L12" s="1" t="n"/>
      <c r="M12" s="1" t="n"/>
      <c r="N12" s="40">
        <f>IF('Book Tracker'!I10&lt;&gt;"",REPT("★",'Book Tracker'!I10)&amp;REPT("☆",5-'Book Tracker'!I10),"")&amp;IF('Book Tracker'!G10&lt;&gt;""," · "&amp;'Book Tracker'!G10,"")</f>
        <v/>
      </c>
      <c r="O12" s="1" t="n"/>
      <c r="P12" s="1" t="n"/>
      <c r="Q12" s="1" t="n"/>
      <c r="R12" s="1" t="n"/>
      <c r="S12" s="40">
        <f>IF('Book Tracker'!I11&lt;&gt;"",REPT("★",'Book Tracker'!I11)&amp;REPT("☆",5-'Book Tracker'!I11),"")&amp;IF('Book Tracker'!G11&lt;&gt;""," · "&amp;'Book Tracker'!G11,"")</f>
        <v/>
      </c>
      <c r="T12" s="1" t="n"/>
      <c r="U12" s="1" t="n"/>
      <c r="V12" s="1" t="n"/>
      <c r="W12" s="1" t="n"/>
      <c r="X12" s="1" t="n"/>
      <c r="Y12" s="1" t="n"/>
    </row>
    <row r="13" ht="15.75" customHeight="1">
      <c r="A13" s="10" t="n"/>
      <c r="B13" s="15" t="inlineStr">
        <is>
          <t>Reading Calendar</t>
        </is>
      </c>
      <c r="C13" s="1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>
      <c r="A14" s="10" t="n"/>
      <c r="B14" s="15" t="inlineStr">
        <is>
          <t>Wishlist</t>
        </is>
      </c>
      <c r="C14" s="11" t="n"/>
      <c r="D14" s="36">
        <f>IF('Book Tracker'!E12&lt;&gt;"",LEFT('Book Tracker'!E12,1),"")</f>
        <v/>
      </c>
      <c r="E14" s="37" t="n"/>
      <c r="F14" s="37" t="n"/>
      <c r="G14" s="37" t="n"/>
      <c r="H14" s="1" t="n"/>
      <c r="I14" s="36">
        <f>IF('Book Tracker'!E13&lt;&gt;"",LEFT('Book Tracker'!E13,1),"")</f>
        <v/>
      </c>
      <c r="J14" s="37" t="n"/>
      <c r="K14" s="37" t="n"/>
      <c r="L14" s="37" t="n"/>
      <c r="M14" s="1" t="n"/>
      <c r="N14" s="36">
        <f>IF('Book Tracker'!E14&lt;&gt;"",LEFT('Book Tracker'!E14,1),"")</f>
        <v/>
      </c>
      <c r="O14" s="37" t="n"/>
      <c r="P14" s="37" t="n"/>
      <c r="Q14" s="37" t="n"/>
      <c r="R14" s="1" t="n"/>
      <c r="S14" s="36">
        <f>IF('Book Tracker'!E15&lt;&gt;"",LEFT('Book Tracker'!E15,1),"")</f>
        <v/>
      </c>
      <c r="T14" s="37" t="n"/>
      <c r="U14" s="37" t="n"/>
      <c r="V14" s="37" t="n"/>
      <c r="W14" s="1" t="n"/>
      <c r="X14" s="1" t="n"/>
      <c r="Y14" s="1" t="n"/>
    </row>
    <row r="15" ht="15.75" customHeight="1">
      <c r="A15" s="10" t="n"/>
      <c r="B15" s="10" t="n"/>
      <c r="C15" s="11" t="n"/>
      <c r="D15" s="37" t="n"/>
      <c r="E15" s="37" t="n"/>
      <c r="F15" s="37" t="n"/>
      <c r="G15" s="37" t="n"/>
      <c r="H15" s="1" t="n"/>
      <c r="I15" s="37" t="n"/>
      <c r="J15" s="37" t="n"/>
      <c r="K15" s="37" t="n"/>
      <c r="L15" s="37" t="n"/>
      <c r="M15" s="1" t="n"/>
      <c r="N15" s="37" t="n"/>
      <c r="O15" s="37" t="n"/>
      <c r="P15" s="37" t="n"/>
      <c r="Q15" s="37" t="n"/>
      <c r="R15" s="1" t="n"/>
      <c r="S15" s="37" t="n"/>
      <c r="T15" s="37" t="n"/>
      <c r="U15" s="37" t="n"/>
      <c r="V15" s="37" t="n"/>
      <c r="W15" s="1" t="n"/>
      <c r="X15" s="1" t="n"/>
      <c r="Y15" s="1" t="n"/>
    </row>
    <row r="16" ht="15.75" customHeight="1">
      <c r="A16" s="10" t="n"/>
      <c r="B16" s="14" t="inlineStr">
        <is>
          <t>OVERVIEW</t>
        </is>
      </c>
      <c r="C16" s="11" t="n"/>
      <c r="D16" s="37" t="n"/>
      <c r="E16" s="37" t="n"/>
      <c r="F16" s="37" t="n"/>
      <c r="G16" s="37" t="n"/>
      <c r="H16" s="1" t="n"/>
      <c r="I16" s="37" t="n"/>
      <c r="J16" s="37" t="n"/>
      <c r="K16" s="37" t="n"/>
      <c r="L16" s="37" t="n"/>
      <c r="M16" s="1" t="n"/>
      <c r="N16" s="37" t="n"/>
      <c r="O16" s="37" t="n"/>
      <c r="P16" s="37" t="n"/>
      <c r="Q16" s="37" t="n"/>
      <c r="R16" s="1" t="n"/>
      <c r="S16" s="37" t="n"/>
      <c r="T16" s="37" t="n"/>
      <c r="U16" s="37" t="n"/>
      <c r="V16" s="37" t="n"/>
      <c r="W16" s="1" t="n"/>
      <c r="X16" s="1" t="n"/>
      <c r="Y16" s="1" t="n"/>
    </row>
    <row r="17" ht="15.75" customHeight="1">
      <c r="A17" s="10" t="n"/>
      <c r="B17" s="15" t="inlineStr">
        <is>
          <t>Dashboard</t>
        </is>
      </c>
      <c r="C17" s="11" t="n"/>
      <c r="D17" s="38">
        <f>IF('Book Tracker'!E12&lt;&gt;"",'Book Tracker'!E12,"")</f>
        <v/>
      </c>
      <c r="E17" s="1" t="n"/>
      <c r="F17" s="1" t="n"/>
      <c r="G17" s="1" t="n"/>
      <c r="H17" s="1" t="n"/>
      <c r="I17" s="38">
        <f>IF('Book Tracker'!E13&lt;&gt;"",'Book Tracker'!E13,"")</f>
        <v/>
      </c>
      <c r="J17" s="1" t="n"/>
      <c r="K17" s="1" t="n"/>
      <c r="L17" s="1" t="n"/>
      <c r="M17" s="1" t="n"/>
      <c r="N17" s="38">
        <f>IF('Book Tracker'!E14&lt;&gt;"",'Book Tracker'!E14,"")</f>
        <v/>
      </c>
      <c r="O17" s="1" t="n"/>
      <c r="P17" s="1" t="n"/>
      <c r="Q17" s="1" t="n"/>
      <c r="R17" s="1" t="n"/>
      <c r="S17" s="38">
        <f>IF('Book Tracker'!E15&lt;&gt;"",'Book Tracker'!E15,"")</f>
        <v/>
      </c>
      <c r="T17" s="1" t="n"/>
      <c r="U17" s="1" t="n"/>
      <c r="V17" s="1" t="n"/>
      <c r="W17" s="1" t="n"/>
      <c r="X17" s="1" t="n"/>
      <c r="Y17" s="1" t="n"/>
    </row>
    <row r="18" ht="15.75" customHeight="1">
      <c r="A18" s="10" t="n"/>
      <c r="B18" s="10" t="n"/>
      <c r="C18" s="11" t="n"/>
      <c r="D18" s="39">
        <f>IF('Book Tracker'!F12&lt;&gt;"",'Book Tracker'!F12,"")</f>
        <v/>
      </c>
      <c r="E18" s="1" t="n"/>
      <c r="F18" s="1" t="n"/>
      <c r="G18" s="1" t="n"/>
      <c r="H18" s="1" t="n"/>
      <c r="I18" s="39">
        <f>IF('Book Tracker'!F13&lt;&gt;"",'Book Tracker'!F13,"")</f>
        <v/>
      </c>
      <c r="J18" s="1" t="n"/>
      <c r="K18" s="1" t="n"/>
      <c r="L18" s="1" t="n"/>
      <c r="M18" s="1" t="n"/>
      <c r="N18" s="39">
        <f>IF('Book Tracker'!F14&lt;&gt;"",'Book Tracker'!F14,"")</f>
        <v/>
      </c>
      <c r="O18" s="1" t="n"/>
      <c r="P18" s="1" t="n"/>
      <c r="Q18" s="1" t="n"/>
      <c r="R18" s="1" t="n"/>
      <c r="S18" s="39">
        <f>IF('Book Tracker'!F15&lt;&gt;"",'Book Tracker'!F15,"")</f>
        <v/>
      </c>
      <c r="T18" s="1" t="n"/>
      <c r="U18" s="1" t="n"/>
      <c r="V18" s="1" t="n"/>
      <c r="W18" s="1" t="n"/>
      <c r="X18" s="1" t="n"/>
      <c r="Y18" s="1" t="n"/>
    </row>
    <row r="19" ht="15.75" customHeight="1">
      <c r="A19" s="10" t="n"/>
      <c r="B19" s="10" t="n"/>
      <c r="C19" s="11" t="n"/>
      <c r="D19" s="40">
        <f>IF('Book Tracker'!I12&lt;&gt;"",REPT("★",'Book Tracker'!I12)&amp;REPT("☆",5-'Book Tracker'!I12),"")&amp;IF('Book Tracker'!G12&lt;&gt;""," · "&amp;'Book Tracker'!G12,"")</f>
        <v/>
      </c>
      <c r="E19" s="1" t="n"/>
      <c r="F19" s="1" t="n"/>
      <c r="G19" s="1" t="n"/>
      <c r="H19" s="1" t="n"/>
      <c r="I19" s="40">
        <f>IF('Book Tracker'!I13&lt;&gt;"",REPT("★",'Book Tracker'!I13)&amp;REPT("☆",5-'Book Tracker'!I13),"")&amp;IF('Book Tracker'!G13&lt;&gt;""," · "&amp;'Book Tracker'!G13,"")</f>
        <v/>
      </c>
      <c r="J19" s="1" t="n"/>
      <c r="K19" s="1" t="n"/>
      <c r="L19" s="1" t="n"/>
      <c r="M19" s="1" t="n"/>
      <c r="N19" s="40">
        <f>IF('Book Tracker'!I14&lt;&gt;"",REPT("★",'Book Tracker'!I14)&amp;REPT("☆",5-'Book Tracker'!I14),"")&amp;IF('Book Tracker'!G14&lt;&gt;""," · "&amp;'Book Tracker'!G14,"")</f>
        <v/>
      </c>
      <c r="O19" s="1" t="n"/>
      <c r="P19" s="1" t="n"/>
      <c r="Q19" s="1" t="n"/>
      <c r="R19" s="1" t="n"/>
      <c r="S19" s="40">
        <f>IF('Book Tracker'!I15&lt;&gt;"",REPT("★",'Book Tracker'!I15)&amp;REPT("☆",5-'Book Tracker'!I15),"")&amp;IF('Book Tracker'!G15&lt;&gt;""," · "&amp;'Book Tracker'!G15,"")</f>
        <v/>
      </c>
      <c r="T19" s="1" t="n"/>
      <c r="U19" s="1" t="n"/>
      <c r="V19" s="1" t="n"/>
      <c r="W19" s="1" t="n"/>
      <c r="X19" s="1" t="n"/>
      <c r="Y19" s="1" t="n"/>
    </row>
    <row r="20" ht="15.75" customHeight="1">
      <c r="A20" s="10" t="n"/>
      <c r="B20" s="10" t="n"/>
      <c r="C20" s="1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>
      <c r="A21" s="10" t="n"/>
      <c r="B21" s="10" t="n"/>
      <c r="C21" s="11" t="n"/>
      <c r="D21" s="36">
        <f>IF('Book Tracker'!E16&lt;&gt;"",LEFT('Book Tracker'!E16,1),"")</f>
        <v/>
      </c>
      <c r="E21" s="37" t="n"/>
      <c r="F21" s="37" t="n"/>
      <c r="G21" s="37" t="n"/>
      <c r="H21" s="1" t="n"/>
      <c r="I21" s="36">
        <f>IF('Book Tracker'!E17&lt;&gt;"",LEFT('Book Tracker'!E17,1),"")</f>
        <v/>
      </c>
      <c r="J21" s="37" t="n"/>
      <c r="K21" s="37" t="n"/>
      <c r="L21" s="37" t="n"/>
      <c r="M21" s="1" t="n"/>
      <c r="N21" s="36">
        <f>IF('Book Tracker'!E18&lt;&gt;"",LEFT('Book Tracker'!E18,1),"")</f>
        <v/>
      </c>
      <c r="O21" s="37" t="n"/>
      <c r="P21" s="37" t="n"/>
      <c r="Q21" s="37" t="n"/>
      <c r="R21" s="1" t="n"/>
      <c r="S21" s="36">
        <f>IF('Book Tracker'!E19&lt;&gt;"",LEFT('Book Tracker'!E19,1),"")</f>
        <v/>
      </c>
      <c r="T21" s="37" t="n"/>
      <c r="U21" s="37" t="n"/>
      <c r="V21" s="37" t="n"/>
      <c r="W21" s="1" t="n"/>
      <c r="X21" s="1" t="n"/>
      <c r="Y21" s="1" t="n"/>
    </row>
    <row r="22" ht="15.75" customHeight="1">
      <c r="A22" s="10" t="n"/>
      <c r="B22" s="10" t="n"/>
      <c r="C22" s="11" t="n"/>
      <c r="D22" s="37" t="n"/>
      <c r="E22" s="37" t="n"/>
      <c r="F22" s="37" t="n"/>
      <c r="G22" s="37" t="n"/>
      <c r="H22" s="1" t="n"/>
      <c r="I22" s="37" t="n"/>
      <c r="J22" s="37" t="n"/>
      <c r="K22" s="37" t="n"/>
      <c r="L22" s="37" t="n"/>
      <c r="M22" s="1" t="n"/>
      <c r="N22" s="37" t="n"/>
      <c r="O22" s="37" t="n"/>
      <c r="P22" s="37" t="n"/>
      <c r="Q22" s="37" t="n"/>
      <c r="R22" s="1" t="n"/>
      <c r="S22" s="37" t="n"/>
      <c r="T22" s="37" t="n"/>
      <c r="U22" s="37" t="n"/>
      <c r="V22" s="37" t="n"/>
      <c r="W22" s="1" t="n"/>
      <c r="X22" s="1" t="n"/>
      <c r="Y22" s="1" t="n"/>
    </row>
    <row r="23" ht="15.75" customHeight="1">
      <c r="A23" s="10" t="n"/>
      <c r="B23" s="10" t="n"/>
      <c r="C23" s="11" t="n"/>
      <c r="D23" s="37" t="n"/>
      <c r="E23" s="37" t="n"/>
      <c r="F23" s="37" t="n"/>
      <c r="G23" s="37" t="n"/>
      <c r="H23" s="1" t="n"/>
      <c r="I23" s="37" t="n"/>
      <c r="J23" s="37" t="n"/>
      <c r="K23" s="37" t="n"/>
      <c r="L23" s="37" t="n"/>
      <c r="M23" s="1" t="n"/>
      <c r="N23" s="37" t="n"/>
      <c r="O23" s="37" t="n"/>
      <c r="P23" s="37" t="n"/>
      <c r="Q23" s="37" t="n"/>
      <c r="R23" s="1" t="n"/>
      <c r="S23" s="37" t="n"/>
      <c r="T23" s="37" t="n"/>
      <c r="U23" s="37" t="n"/>
      <c r="V23" s="37" t="n"/>
      <c r="W23" s="1" t="n"/>
      <c r="X23" s="1" t="n"/>
      <c r="Y23" s="1" t="n"/>
    </row>
    <row r="24" ht="15.75" customHeight="1">
      <c r="A24" s="10" t="n"/>
      <c r="B24" s="10" t="n"/>
      <c r="C24" s="11" t="n"/>
      <c r="D24" s="38">
        <f>IF('Book Tracker'!E16&lt;&gt;"",'Book Tracker'!E16,"")</f>
        <v/>
      </c>
      <c r="E24" s="1" t="n"/>
      <c r="F24" s="1" t="n"/>
      <c r="G24" s="1" t="n"/>
      <c r="H24" s="1" t="n"/>
      <c r="I24" s="38">
        <f>IF('Book Tracker'!E17&lt;&gt;"",'Book Tracker'!E17,"")</f>
        <v/>
      </c>
      <c r="J24" s="1" t="n"/>
      <c r="K24" s="1" t="n"/>
      <c r="L24" s="1" t="n"/>
      <c r="M24" s="1" t="n"/>
      <c r="N24" s="38">
        <f>IF('Book Tracker'!E18&lt;&gt;"",'Book Tracker'!E18,"")</f>
        <v/>
      </c>
      <c r="O24" s="1" t="n"/>
      <c r="P24" s="1" t="n"/>
      <c r="Q24" s="1" t="n"/>
      <c r="R24" s="1" t="n"/>
      <c r="S24" s="38">
        <f>IF('Book Tracker'!E19&lt;&gt;"",'Book Tracker'!E19,"")</f>
        <v/>
      </c>
      <c r="T24" s="1" t="n"/>
      <c r="U24" s="1" t="n"/>
      <c r="V24" s="1" t="n"/>
      <c r="W24" s="1" t="n"/>
      <c r="X24" s="1" t="n"/>
      <c r="Y24" s="1" t="n"/>
    </row>
    <row r="25" ht="15.75" customHeight="1">
      <c r="A25" s="10" t="n"/>
      <c r="B25" s="10" t="n"/>
      <c r="C25" s="11" t="n"/>
      <c r="D25" s="39">
        <f>IF('Book Tracker'!F16&lt;&gt;"",'Book Tracker'!F16,"")</f>
        <v/>
      </c>
      <c r="E25" s="1" t="n"/>
      <c r="F25" s="1" t="n"/>
      <c r="G25" s="1" t="n"/>
      <c r="H25" s="1" t="n"/>
      <c r="I25" s="39">
        <f>IF('Book Tracker'!F17&lt;&gt;"",'Book Tracker'!F17,"")</f>
        <v/>
      </c>
      <c r="J25" s="1" t="n"/>
      <c r="K25" s="1" t="n"/>
      <c r="L25" s="1" t="n"/>
      <c r="M25" s="1" t="n"/>
      <c r="N25" s="39">
        <f>IF('Book Tracker'!F18&lt;&gt;"",'Book Tracker'!F18,"")</f>
        <v/>
      </c>
      <c r="O25" s="1" t="n"/>
      <c r="P25" s="1" t="n"/>
      <c r="Q25" s="1" t="n"/>
      <c r="R25" s="1" t="n"/>
      <c r="S25" s="39">
        <f>IF('Book Tracker'!F19&lt;&gt;"",'Book Tracker'!F19,"")</f>
        <v/>
      </c>
      <c r="T25" s="1" t="n"/>
      <c r="U25" s="1" t="n"/>
      <c r="V25" s="1" t="n"/>
      <c r="W25" s="1" t="n"/>
      <c r="X25" s="1" t="n"/>
      <c r="Y25" s="1" t="n"/>
    </row>
    <row r="26" ht="15.75" customHeight="1">
      <c r="A26" s="10" t="n"/>
      <c r="B26" s="10" t="n"/>
      <c r="C26" s="11" t="n"/>
      <c r="D26" s="40">
        <f>IF('Book Tracker'!I16&lt;&gt;"",REPT("★",'Book Tracker'!I16)&amp;REPT("☆",5-'Book Tracker'!I16),"")&amp;IF('Book Tracker'!G16&lt;&gt;""," · "&amp;'Book Tracker'!G16,"")</f>
        <v/>
      </c>
      <c r="E26" s="1" t="n"/>
      <c r="F26" s="1" t="n"/>
      <c r="G26" s="1" t="n"/>
      <c r="H26" s="1" t="n"/>
      <c r="I26" s="40">
        <f>IF('Book Tracker'!I17&lt;&gt;"",REPT("★",'Book Tracker'!I17)&amp;REPT("☆",5-'Book Tracker'!I17),"")&amp;IF('Book Tracker'!G17&lt;&gt;""," · "&amp;'Book Tracker'!G17,"")</f>
        <v/>
      </c>
      <c r="J26" s="1" t="n"/>
      <c r="K26" s="1" t="n"/>
      <c r="L26" s="1" t="n"/>
      <c r="M26" s="1" t="n"/>
      <c r="N26" s="40">
        <f>IF('Book Tracker'!I18&lt;&gt;"",REPT("★",'Book Tracker'!I18)&amp;REPT("☆",5-'Book Tracker'!I18),"")&amp;IF('Book Tracker'!G18&lt;&gt;""," · "&amp;'Book Tracker'!G18,"")</f>
        <v/>
      </c>
      <c r="O26" s="1" t="n"/>
      <c r="P26" s="1" t="n"/>
      <c r="Q26" s="1" t="n"/>
      <c r="R26" s="1" t="n"/>
      <c r="S26" s="40">
        <f>IF('Book Tracker'!I19&lt;&gt;"",REPT("★",'Book Tracker'!I19)&amp;REPT("☆",5-'Book Tracker'!I19),"")&amp;IF('Book Tracker'!G19&lt;&gt;""," · "&amp;'Book Tracker'!G19,"")</f>
        <v/>
      </c>
      <c r="T26" s="1" t="n"/>
      <c r="U26" s="1" t="n"/>
      <c r="V26" s="1" t="n"/>
      <c r="W26" s="1" t="n"/>
      <c r="X26" s="1" t="n"/>
      <c r="Y26" s="1" t="n"/>
    </row>
    <row r="27" ht="15.75" customHeight="1">
      <c r="A27" s="10" t="n"/>
      <c r="B27" s="10" t="n"/>
      <c r="C27" s="1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>
      <c r="A28" s="10" t="n"/>
      <c r="B28" s="10" t="n"/>
      <c r="C28" s="11" t="n"/>
      <c r="D28" s="36">
        <f>IF('Book Tracker'!E20&lt;&gt;"",LEFT('Book Tracker'!E20,1),"")</f>
        <v/>
      </c>
      <c r="E28" s="37" t="n"/>
      <c r="F28" s="37" t="n"/>
      <c r="G28" s="37" t="n"/>
      <c r="H28" s="1" t="n"/>
      <c r="I28" s="36">
        <f>IF('Book Tracker'!E21&lt;&gt;"",LEFT('Book Tracker'!E21,1),"")</f>
        <v/>
      </c>
      <c r="J28" s="37" t="n"/>
      <c r="K28" s="37" t="n"/>
      <c r="L28" s="37" t="n"/>
      <c r="M28" s="1" t="n"/>
      <c r="N28" s="36">
        <f>IF('Book Tracker'!E22&lt;&gt;"",LEFT('Book Tracker'!E22,1),"")</f>
        <v/>
      </c>
      <c r="O28" s="37" t="n"/>
      <c r="P28" s="37" t="n"/>
      <c r="Q28" s="37" t="n"/>
      <c r="R28" s="1" t="n"/>
      <c r="S28" s="36">
        <f>IF('Book Tracker'!E23&lt;&gt;"",LEFT('Book Tracker'!E23,1),"")</f>
        <v/>
      </c>
      <c r="T28" s="37" t="n"/>
      <c r="U28" s="37" t="n"/>
      <c r="V28" s="37" t="n"/>
      <c r="W28" s="1" t="n"/>
      <c r="X28" s="1" t="n"/>
      <c r="Y28" s="1" t="n"/>
    </row>
    <row r="29" ht="15.75" customHeight="1">
      <c r="A29" s="10" t="n"/>
      <c r="B29" s="10" t="n"/>
      <c r="C29" s="11" t="n"/>
      <c r="D29" s="37" t="n"/>
      <c r="E29" s="37" t="n"/>
      <c r="F29" s="37" t="n"/>
      <c r="G29" s="37" t="n"/>
      <c r="H29" s="1" t="n"/>
      <c r="I29" s="37" t="n"/>
      <c r="J29" s="37" t="n"/>
      <c r="K29" s="37" t="n"/>
      <c r="L29" s="37" t="n"/>
      <c r="M29" s="1" t="n"/>
      <c r="N29" s="37" t="n"/>
      <c r="O29" s="37" t="n"/>
      <c r="P29" s="37" t="n"/>
      <c r="Q29" s="37" t="n"/>
      <c r="R29" s="1" t="n"/>
      <c r="S29" s="37" t="n"/>
      <c r="T29" s="37" t="n"/>
      <c r="U29" s="37" t="n"/>
      <c r="V29" s="37" t="n"/>
      <c r="W29" s="1" t="n"/>
      <c r="X29" s="1" t="n"/>
      <c r="Y29" s="1" t="n"/>
    </row>
    <row r="30" ht="15.75" customHeight="1">
      <c r="A30" s="10" t="n"/>
      <c r="B30" s="10" t="n"/>
      <c r="C30" s="11" t="n"/>
      <c r="D30" s="37" t="n"/>
      <c r="E30" s="37" t="n"/>
      <c r="F30" s="37" t="n"/>
      <c r="G30" s="37" t="n"/>
      <c r="H30" s="1" t="n"/>
      <c r="I30" s="37" t="n"/>
      <c r="J30" s="37" t="n"/>
      <c r="K30" s="37" t="n"/>
      <c r="L30" s="37" t="n"/>
      <c r="M30" s="1" t="n"/>
      <c r="N30" s="37" t="n"/>
      <c r="O30" s="37" t="n"/>
      <c r="P30" s="37" t="n"/>
      <c r="Q30" s="37" t="n"/>
      <c r="R30" s="1" t="n"/>
      <c r="S30" s="37" t="n"/>
      <c r="T30" s="37" t="n"/>
      <c r="U30" s="37" t="n"/>
      <c r="V30" s="37" t="n"/>
      <c r="W30" s="1" t="n"/>
      <c r="X30" s="1" t="n"/>
      <c r="Y30" s="1" t="n"/>
    </row>
    <row r="31" ht="15.75" customHeight="1">
      <c r="A31" s="10" t="n"/>
      <c r="B31" s="10" t="n"/>
      <c r="C31" s="11" t="n"/>
      <c r="D31" s="38">
        <f>IF('Book Tracker'!E20&lt;&gt;"",'Book Tracker'!E20,"")</f>
        <v/>
      </c>
      <c r="E31" s="1" t="n"/>
      <c r="F31" s="1" t="n"/>
      <c r="G31" s="1" t="n"/>
      <c r="H31" s="1" t="n"/>
      <c r="I31" s="38">
        <f>IF('Book Tracker'!E21&lt;&gt;"",'Book Tracker'!E21,"")</f>
        <v/>
      </c>
      <c r="J31" s="1" t="n"/>
      <c r="K31" s="1" t="n"/>
      <c r="L31" s="1" t="n"/>
      <c r="M31" s="1" t="n"/>
      <c r="N31" s="38">
        <f>IF('Book Tracker'!E22&lt;&gt;"",'Book Tracker'!E22,"")</f>
        <v/>
      </c>
      <c r="O31" s="1" t="n"/>
      <c r="P31" s="1" t="n"/>
      <c r="Q31" s="1" t="n"/>
      <c r="R31" s="1" t="n"/>
      <c r="S31" s="38">
        <f>IF('Book Tracker'!E23&lt;&gt;"",'Book Tracker'!E23,"")</f>
        <v/>
      </c>
      <c r="T31" s="1" t="n"/>
      <c r="U31" s="1" t="n"/>
      <c r="V31" s="1" t="n"/>
      <c r="W31" s="1" t="n"/>
      <c r="X31" s="1" t="n"/>
      <c r="Y31" s="1" t="n"/>
    </row>
    <row r="32" ht="15.75" customHeight="1">
      <c r="A32" s="10" t="n"/>
      <c r="B32" s="10" t="n"/>
      <c r="C32" s="11" t="n"/>
      <c r="D32" s="39">
        <f>IF('Book Tracker'!F20&lt;&gt;"",'Book Tracker'!F20,"")</f>
        <v/>
      </c>
      <c r="E32" s="1" t="n"/>
      <c r="F32" s="1" t="n"/>
      <c r="G32" s="1" t="n"/>
      <c r="H32" s="1" t="n"/>
      <c r="I32" s="39">
        <f>IF('Book Tracker'!F21&lt;&gt;"",'Book Tracker'!F21,"")</f>
        <v/>
      </c>
      <c r="J32" s="1" t="n"/>
      <c r="K32" s="1" t="n"/>
      <c r="L32" s="1" t="n"/>
      <c r="M32" s="1" t="n"/>
      <c r="N32" s="39">
        <f>IF('Book Tracker'!F22&lt;&gt;"",'Book Tracker'!F22,"")</f>
        <v/>
      </c>
      <c r="O32" s="1" t="n"/>
      <c r="P32" s="1" t="n"/>
      <c r="Q32" s="1" t="n"/>
      <c r="R32" s="1" t="n"/>
      <c r="S32" s="39">
        <f>IF('Book Tracker'!F23&lt;&gt;"",'Book Tracker'!F23,"")</f>
        <v/>
      </c>
      <c r="T32" s="1" t="n"/>
      <c r="U32" s="1" t="n"/>
      <c r="V32" s="1" t="n"/>
      <c r="W32" s="1" t="n"/>
      <c r="X32" s="1" t="n"/>
      <c r="Y32" s="1" t="n"/>
    </row>
    <row r="33" ht="15.75" customHeight="1">
      <c r="A33" s="10" t="n"/>
      <c r="B33" s="10" t="n"/>
      <c r="C33" s="11" t="n"/>
      <c r="D33" s="40">
        <f>IF('Book Tracker'!I20&lt;&gt;"",REPT("★",'Book Tracker'!I20)&amp;REPT("☆",5-'Book Tracker'!I20),"")&amp;IF('Book Tracker'!G20&lt;&gt;""," · "&amp;'Book Tracker'!G20,"")</f>
        <v/>
      </c>
      <c r="E33" s="1" t="n"/>
      <c r="F33" s="1" t="n"/>
      <c r="G33" s="1" t="n"/>
      <c r="H33" s="1" t="n"/>
      <c r="I33" s="40">
        <f>IF('Book Tracker'!I21&lt;&gt;"",REPT("★",'Book Tracker'!I21)&amp;REPT("☆",5-'Book Tracker'!I21),"")&amp;IF('Book Tracker'!G21&lt;&gt;""," · "&amp;'Book Tracker'!G21,"")</f>
        <v/>
      </c>
      <c r="J33" s="1" t="n"/>
      <c r="K33" s="1" t="n"/>
      <c r="L33" s="1" t="n"/>
      <c r="M33" s="1" t="n"/>
      <c r="N33" s="40">
        <f>IF('Book Tracker'!I22&lt;&gt;"",REPT("★",'Book Tracker'!I22)&amp;REPT("☆",5-'Book Tracker'!I22),"")&amp;IF('Book Tracker'!G22&lt;&gt;""," · "&amp;'Book Tracker'!G22,"")</f>
        <v/>
      </c>
      <c r="O33" s="1" t="n"/>
      <c r="P33" s="1" t="n"/>
      <c r="Q33" s="1" t="n"/>
      <c r="R33" s="1" t="n"/>
      <c r="S33" s="40">
        <f>IF('Book Tracker'!I23&lt;&gt;"",REPT("★",'Book Tracker'!I23)&amp;REPT("☆",5-'Book Tracker'!I23),"")&amp;IF('Book Tracker'!G23&lt;&gt;""," · "&amp;'Book Tracker'!G23,"")</f>
        <v/>
      </c>
      <c r="T33" s="1" t="n"/>
      <c r="U33" s="1" t="n"/>
      <c r="V33" s="1" t="n"/>
      <c r="W33" s="1" t="n"/>
      <c r="X33" s="1" t="n"/>
      <c r="Y33" s="1" t="n"/>
    </row>
    <row r="34" ht="15.75" customHeight="1">
      <c r="A34" s="10" t="n"/>
      <c r="B34" s="10" t="n"/>
      <c r="C34" s="1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>
      <c r="A35" s="10" t="n"/>
      <c r="B35" s="10" t="n"/>
      <c r="C35" s="11" t="n"/>
      <c r="D35" s="36">
        <f>IF('Book Tracker'!E24&lt;&gt;"",LEFT('Book Tracker'!E24,1),"")</f>
        <v/>
      </c>
      <c r="E35" s="37" t="n"/>
      <c r="F35" s="37" t="n"/>
      <c r="G35" s="37" t="n"/>
      <c r="H35" s="1" t="n"/>
      <c r="I35" s="36">
        <f>IF('Book Tracker'!E25&lt;&gt;"",LEFT('Book Tracker'!E25,1),"")</f>
        <v/>
      </c>
      <c r="J35" s="37" t="n"/>
      <c r="K35" s="37" t="n"/>
      <c r="L35" s="37" t="n"/>
      <c r="M35" s="1" t="n"/>
      <c r="N35" s="36">
        <f>IF('Book Tracker'!E26&lt;&gt;"",LEFT('Book Tracker'!E26,1),"")</f>
        <v/>
      </c>
      <c r="O35" s="37" t="n"/>
      <c r="P35" s="37" t="n"/>
      <c r="Q35" s="37" t="n"/>
      <c r="R35" s="1" t="n"/>
      <c r="S35" s="36">
        <f>IF('Book Tracker'!E27&lt;&gt;"",LEFT('Book Tracker'!E27,1),"")</f>
        <v/>
      </c>
      <c r="T35" s="37" t="n"/>
      <c r="U35" s="37" t="n"/>
      <c r="V35" s="37" t="n"/>
      <c r="W35" s="1" t="n"/>
      <c r="X35" s="1" t="n"/>
      <c r="Y35" s="1" t="n"/>
    </row>
    <row r="36" ht="15.75" customHeight="1">
      <c r="A36" s="10" t="n"/>
      <c r="B36" s="10" t="n"/>
      <c r="C36" s="11" t="n"/>
      <c r="D36" s="37" t="n"/>
      <c r="E36" s="37" t="n"/>
      <c r="F36" s="37" t="n"/>
      <c r="G36" s="37" t="n"/>
      <c r="H36" s="1" t="n"/>
      <c r="I36" s="37" t="n"/>
      <c r="J36" s="37" t="n"/>
      <c r="K36" s="37" t="n"/>
      <c r="L36" s="37" t="n"/>
      <c r="M36" s="1" t="n"/>
      <c r="N36" s="37" t="n"/>
      <c r="O36" s="37" t="n"/>
      <c r="P36" s="37" t="n"/>
      <c r="Q36" s="37" t="n"/>
      <c r="R36" s="1" t="n"/>
      <c r="S36" s="37" t="n"/>
      <c r="T36" s="37" t="n"/>
      <c r="U36" s="37" t="n"/>
      <c r="V36" s="37" t="n"/>
      <c r="W36" s="1" t="n"/>
      <c r="X36" s="1" t="n"/>
      <c r="Y36" s="1" t="n"/>
    </row>
    <row r="37" ht="15.75" customHeight="1">
      <c r="A37" s="10" t="n"/>
      <c r="B37" s="10" t="n"/>
      <c r="C37" s="11" t="n"/>
      <c r="D37" s="37" t="n"/>
      <c r="E37" s="37" t="n"/>
      <c r="F37" s="37" t="n"/>
      <c r="G37" s="37" t="n"/>
      <c r="H37" s="1" t="n"/>
      <c r="I37" s="37" t="n"/>
      <c r="J37" s="37" t="n"/>
      <c r="K37" s="37" t="n"/>
      <c r="L37" s="37" t="n"/>
      <c r="M37" s="1" t="n"/>
      <c r="N37" s="37" t="n"/>
      <c r="O37" s="37" t="n"/>
      <c r="P37" s="37" t="n"/>
      <c r="Q37" s="37" t="n"/>
      <c r="R37" s="1" t="n"/>
      <c r="S37" s="37" t="n"/>
      <c r="T37" s="37" t="n"/>
      <c r="U37" s="37" t="n"/>
      <c r="V37" s="37" t="n"/>
      <c r="W37" s="1" t="n"/>
      <c r="X37" s="1" t="n"/>
      <c r="Y37" s="1" t="n"/>
    </row>
    <row r="38" ht="15.75" customHeight="1">
      <c r="A38" s="10" t="n"/>
      <c r="B38" s="10" t="n"/>
      <c r="C38" s="11" t="n"/>
      <c r="D38" s="38">
        <f>IF('Book Tracker'!E24&lt;&gt;"",'Book Tracker'!E24,"")</f>
        <v/>
      </c>
      <c r="E38" s="1" t="n"/>
      <c r="F38" s="1" t="n"/>
      <c r="G38" s="1" t="n"/>
      <c r="H38" s="1" t="n"/>
      <c r="I38" s="38">
        <f>IF('Book Tracker'!E25&lt;&gt;"",'Book Tracker'!E25,"")</f>
        <v/>
      </c>
      <c r="J38" s="1" t="n"/>
      <c r="K38" s="1" t="n"/>
      <c r="L38" s="1" t="n"/>
      <c r="M38" s="1" t="n"/>
      <c r="N38" s="38">
        <f>IF('Book Tracker'!E26&lt;&gt;"",'Book Tracker'!E26,"")</f>
        <v/>
      </c>
      <c r="O38" s="1" t="n"/>
      <c r="P38" s="1" t="n"/>
      <c r="Q38" s="1" t="n"/>
      <c r="R38" s="1" t="n"/>
      <c r="S38" s="38">
        <f>IF('Book Tracker'!E27&lt;&gt;"",'Book Tracker'!E27,"")</f>
        <v/>
      </c>
      <c r="T38" s="1" t="n"/>
      <c r="U38" s="1" t="n"/>
      <c r="V38" s="1" t="n"/>
      <c r="W38" s="1" t="n"/>
      <c r="X38" s="1" t="n"/>
      <c r="Y38" s="1" t="n"/>
    </row>
    <row r="39" ht="15.75" customHeight="1">
      <c r="A39" s="10" t="n"/>
      <c r="B39" s="10" t="n"/>
      <c r="C39" s="11" t="n"/>
      <c r="D39" s="39">
        <f>IF('Book Tracker'!F24&lt;&gt;"",'Book Tracker'!F24,"")</f>
        <v/>
      </c>
      <c r="E39" s="1" t="n"/>
      <c r="F39" s="1" t="n"/>
      <c r="G39" s="1" t="n"/>
      <c r="H39" s="1" t="n"/>
      <c r="I39" s="39">
        <f>IF('Book Tracker'!F25&lt;&gt;"",'Book Tracker'!F25,"")</f>
        <v/>
      </c>
      <c r="J39" s="1" t="n"/>
      <c r="K39" s="1" t="n"/>
      <c r="L39" s="1" t="n"/>
      <c r="M39" s="1" t="n"/>
      <c r="N39" s="39">
        <f>IF('Book Tracker'!F26&lt;&gt;"",'Book Tracker'!F26,"")</f>
        <v/>
      </c>
      <c r="O39" s="1" t="n"/>
      <c r="P39" s="1" t="n"/>
      <c r="Q39" s="1" t="n"/>
      <c r="R39" s="1" t="n"/>
      <c r="S39" s="39">
        <f>IF('Book Tracker'!F27&lt;&gt;"",'Book Tracker'!F27,"")</f>
        <v/>
      </c>
      <c r="T39" s="1" t="n"/>
      <c r="U39" s="1" t="n"/>
      <c r="V39" s="1" t="n"/>
      <c r="W39" s="1" t="n"/>
      <c r="X39" s="1" t="n"/>
      <c r="Y39" s="1" t="n"/>
    </row>
    <row r="40" ht="15.75" customHeight="1">
      <c r="A40" s="10" t="n"/>
      <c r="B40" s="10" t="n"/>
      <c r="C40" s="11" t="n"/>
      <c r="D40" s="40">
        <f>IF('Book Tracker'!I24&lt;&gt;"",REPT("★",'Book Tracker'!I24)&amp;REPT("☆",5-'Book Tracker'!I24),"")&amp;IF('Book Tracker'!G24&lt;&gt;""," · "&amp;'Book Tracker'!G24,"")</f>
        <v/>
      </c>
      <c r="E40" s="1" t="n"/>
      <c r="F40" s="1" t="n"/>
      <c r="G40" s="1" t="n"/>
      <c r="H40" s="1" t="n"/>
      <c r="I40" s="40">
        <f>IF('Book Tracker'!I25&lt;&gt;"",REPT("★",'Book Tracker'!I25)&amp;REPT("☆",5-'Book Tracker'!I25),"")&amp;IF('Book Tracker'!G25&lt;&gt;""," · "&amp;'Book Tracker'!G25,"")</f>
        <v/>
      </c>
      <c r="J40" s="1" t="n"/>
      <c r="K40" s="1" t="n"/>
      <c r="L40" s="1" t="n"/>
      <c r="M40" s="1" t="n"/>
      <c r="N40" s="40">
        <f>IF('Book Tracker'!I26&lt;&gt;"",REPT("★",'Book Tracker'!I26)&amp;REPT("☆",5-'Book Tracker'!I26),"")&amp;IF('Book Tracker'!G26&lt;&gt;""," · "&amp;'Book Tracker'!G26,"")</f>
        <v/>
      </c>
      <c r="O40" s="1" t="n"/>
      <c r="P40" s="1" t="n"/>
      <c r="Q40" s="1" t="n"/>
      <c r="R40" s="1" t="n"/>
      <c r="S40" s="40">
        <f>IF('Book Tracker'!I27&lt;&gt;"",REPT("★",'Book Tracker'!I27)&amp;REPT("☆",5-'Book Tracker'!I27),"")&amp;IF('Book Tracker'!G27&lt;&gt;""," · "&amp;'Book Tracker'!G27,"")</f>
        <v/>
      </c>
      <c r="T40" s="1" t="n"/>
      <c r="U40" s="1" t="n"/>
      <c r="V40" s="1" t="n"/>
      <c r="W40" s="1" t="n"/>
      <c r="X40" s="1" t="n"/>
      <c r="Y40" s="1" t="n"/>
    </row>
    <row r="41" ht="15.75" customHeight="1">
      <c r="A41" s="10" t="n"/>
      <c r="B41" s="10" t="n"/>
      <c r="C41" s="1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>
      <c r="A42" s="10" t="n"/>
      <c r="B42" s="10" t="n"/>
      <c r="C42" s="1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>
      <c r="A43" s="10" t="n"/>
      <c r="B43" s="10" t="n"/>
      <c r="C43" s="1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>
      <c r="A44" s="10" t="n"/>
      <c r="B44" s="10" t="n"/>
      <c r="C44" s="1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>
      <c r="A45" s="10" t="n"/>
      <c r="B45" s="10" t="n"/>
      <c r="C45" s="1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>
      <c r="A46" s="10" t="n"/>
      <c r="B46" s="10" t="n"/>
      <c r="C46" s="1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>
      <c r="A47" s="10" t="n"/>
      <c r="B47" s="10" t="n"/>
      <c r="C47" s="1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>
      <c r="A48" s="10" t="n"/>
      <c r="B48" s="10" t="n"/>
      <c r="C48" s="1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>
      <c r="A49" s="10" t="n"/>
      <c r="B49" s="10" t="n"/>
      <c r="C49" s="1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>
      <c r="A50" s="10" t="n"/>
      <c r="B50" s="10" t="n"/>
      <c r="C50" s="1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>
      <c r="A51" s="10" t="n"/>
      <c r="B51" s="10" t="n"/>
      <c r="C51" s="11" t="n"/>
    </row>
    <row r="52" ht="15.75" customHeight="1">
      <c r="A52" s="10" t="n"/>
      <c r="B52" s="10" t="n"/>
      <c r="C52" s="11" t="n"/>
    </row>
    <row r="53" ht="15.75" customHeight="1">
      <c r="A53" s="10" t="n"/>
      <c r="B53" s="10" t="n"/>
      <c r="C53" s="11" t="n"/>
    </row>
    <row r="54" ht="15.75" customHeight="1">
      <c r="A54" s="10" t="n"/>
      <c r="B54" s="10" t="n"/>
      <c r="C54" s="11" t="n"/>
    </row>
    <row r="55" ht="15.75" customHeight="1"/>
    <row r="56" ht="15.75" customHeight="1"/>
    <row r="57" ht="15.75" customHeight="1"/>
    <row r="58" ht="15.75" customHeight="1"/>
    <row r="59" ht="15.75" customHeight="1"/>
  </sheetData>
  <mergeCells count="81">
    <mergeCell ref="D18:G18"/>
    <mergeCell ref="I38:L38"/>
    <mergeCell ref="I14:L16"/>
    <mergeCell ref="I40:L40"/>
    <mergeCell ref="S31:V31"/>
    <mergeCell ref="D35:G37"/>
    <mergeCell ref="N11:Q11"/>
    <mergeCell ref="D31:G31"/>
    <mergeCell ref="I26:L26"/>
    <mergeCell ref="S21:V23"/>
    <mergeCell ref="N12:Q12"/>
    <mergeCell ref="I25:L25"/>
    <mergeCell ref="I18:L18"/>
    <mergeCell ref="N21:Q23"/>
    <mergeCell ref="S19:V19"/>
    <mergeCell ref="N38:Q38"/>
    <mergeCell ref="N14:Q16"/>
    <mergeCell ref="N31:Q31"/>
    <mergeCell ref="I39:L39"/>
    <mergeCell ref="N40:Q40"/>
    <mergeCell ref="D24:G24"/>
    <mergeCell ref="D33:G33"/>
    <mergeCell ref="N24:Q24"/>
    <mergeCell ref="D26:G26"/>
    <mergeCell ref="I31:L31"/>
    <mergeCell ref="N26:Q26"/>
    <mergeCell ref="D19:G19"/>
    <mergeCell ref="S12:V12"/>
    <mergeCell ref="N25:Q25"/>
    <mergeCell ref="N35:Q37"/>
    <mergeCell ref="S39:V39"/>
    <mergeCell ref="I32:L32"/>
    <mergeCell ref="D11:G11"/>
    <mergeCell ref="S38:V38"/>
    <mergeCell ref="S14:V16"/>
    <mergeCell ref="I7:L9"/>
    <mergeCell ref="N39:Q39"/>
    <mergeCell ref="I21:L23"/>
    <mergeCell ref="S40:V40"/>
    <mergeCell ref="S7:V9"/>
    <mergeCell ref="I24:L24"/>
    <mergeCell ref="S10:V10"/>
    <mergeCell ref="I33:L33"/>
    <mergeCell ref="S24:V24"/>
    <mergeCell ref="S33:V33"/>
    <mergeCell ref="D28:G30"/>
    <mergeCell ref="I17:L17"/>
    <mergeCell ref="D39:G39"/>
    <mergeCell ref="I10:L10"/>
    <mergeCell ref="I19:L19"/>
    <mergeCell ref="D38:G38"/>
    <mergeCell ref="D5:S5"/>
    <mergeCell ref="D14:G16"/>
    <mergeCell ref="I35:L37"/>
    <mergeCell ref="S35:V37"/>
    <mergeCell ref="D10:G10"/>
    <mergeCell ref="N7:Q9"/>
    <mergeCell ref="I11:L11"/>
    <mergeCell ref="N32:Q32"/>
    <mergeCell ref="N18:Q18"/>
    <mergeCell ref="N33:Q33"/>
    <mergeCell ref="D17:G17"/>
    <mergeCell ref="N17:Q17"/>
    <mergeCell ref="N10:Q10"/>
    <mergeCell ref="N19:Q19"/>
    <mergeCell ref="D12:G12"/>
    <mergeCell ref="D25:G25"/>
    <mergeCell ref="N28:Q30"/>
    <mergeCell ref="S32:V32"/>
    <mergeCell ref="S26:V26"/>
    <mergeCell ref="S25:V25"/>
    <mergeCell ref="D40:G40"/>
    <mergeCell ref="S18:V18"/>
    <mergeCell ref="S17:V17"/>
    <mergeCell ref="S11:V11"/>
    <mergeCell ref="D21:G23"/>
    <mergeCell ref="D32:G32"/>
    <mergeCell ref="I12:L12"/>
    <mergeCell ref="D7:G9"/>
    <mergeCell ref="I28:L30"/>
    <mergeCell ref="S28:V30"/>
  </mergeCells>
  <hyperlinks>
    <hyperlink ref="B5" location="'Instructions'!D1" display="Instructions"/>
    <hyperlink ref="B6" location="'Setup'!D1" display="Setup"/>
    <hyperlink ref="B9" location="'Book Tracker'!D1" display="Book Tracker"/>
    <hyperlink ref="B13" location="'Reading Calendar'!D1" display="Reading Calendar"/>
    <hyperlink ref="B14" location="'Wishlist'!D1" display="Wishlist"/>
    <hyperlink ref="B17" location="'Dashboard'!D1" display="Dashboard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1B29A"/>
    <outlinePr summaryBelow="1" summaryRight="1"/>
    <pageSetUpPr/>
  </sheetPr>
  <dimension ref="A1:O54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15.75" customHeight="1">
      <c r="A1" s="10" t="n"/>
      <c r="B1" s="10" t="n"/>
      <c r="C1" s="1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5.75" customHeight="1">
      <c r="A2" s="10" t="n"/>
      <c r="B2" s="12" t="inlineStr">
        <is>
          <t>📚 BOOK TRACKER</t>
        </is>
      </c>
      <c r="C2" s="1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5.75" customHeight="1">
      <c r="A3" s="10" t="n"/>
      <c r="B3" s="10" t="n"/>
      <c r="C3" s="11" t="n"/>
      <c r="D3" s="6" t="inlineStr">
        <is>
          <t>Month:</t>
        </is>
      </c>
      <c r="E3" s="41" t="inlineStr">
        <is>
          <t>January 2026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5.75" customHeight="1">
      <c r="A4" s="10" t="n"/>
      <c r="B4" s="14" t="inlineStr">
        <is>
          <t>SETUP</t>
        </is>
      </c>
      <c r="C4" s="1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8" customHeight="1">
      <c r="A5" s="10" t="n"/>
      <c r="B5" s="15" t="inlineStr">
        <is>
          <t>Instructions</t>
        </is>
      </c>
      <c r="C5" s="11" t="n"/>
      <c r="D5" s="13" t="inlineStr">
        <is>
          <t>📅  READING CALENDAR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5.75" customHeight="1">
      <c r="A6" s="10" t="n"/>
      <c r="B6" s="15" t="inlineStr">
        <is>
          <t>Setup</t>
        </is>
      </c>
      <c r="C6" s="1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15.75" customHeight="1">
      <c r="A7" s="10" t="n"/>
      <c r="B7" s="10" t="n"/>
      <c r="C7" s="11" t="n"/>
      <c r="D7" s="27" t="inlineStr">
        <is>
          <t>Sun</t>
        </is>
      </c>
      <c r="E7" s="27" t="inlineStr">
        <is>
          <t>Mon</t>
        </is>
      </c>
      <c r="F7" s="27" t="inlineStr">
        <is>
          <t>Tue</t>
        </is>
      </c>
      <c r="G7" s="27" t="inlineStr">
        <is>
          <t>Wed</t>
        </is>
      </c>
      <c r="H7" s="27" t="inlineStr">
        <is>
          <t>Thu</t>
        </is>
      </c>
      <c r="I7" s="27" t="inlineStr">
        <is>
          <t>Fri</t>
        </is>
      </c>
      <c r="J7" s="27" t="inlineStr">
        <is>
          <t>Sat</t>
        </is>
      </c>
      <c r="K7" s="1" t="n"/>
      <c r="L7" s="1" t="n"/>
      <c r="M7" s="1" t="n"/>
      <c r="N7" s="1" t="n"/>
      <c r="O7" s="1" t="n"/>
    </row>
    <row r="8" ht="15" customHeight="1">
      <c r="A8" s="10" t="n"/>
      <c r="B8" s="14" t="inlineStr">
        <is>
          <t>LIBRARY</t>
        </is>
      </c>
      <c r="C8" s="11" t="n"/>
      <c r="D8" s="42" t="n"/>
      <c r="E8" s="42" t="n"/>
      <c r="F8" s="42" t="n"/>
      <c r="G8" s="43" t="n">
        <v>1</v>
      </c>
      <c r="H8" s="43" t="n">
        <v>2</v>
      </c>
      <c r="I8" s="43" t="n">
        <v>3</v>
      </c>
      <c r="J8" s="43" t="n">
        <v>4</v>
      </c>
      <c r="K8" s="1" t="n"/>
      <c r="L8" s="1" t="n"/>
      <c r="M8" s="1" t="n"/>
      <c r="N8" s="1" t="n"/>
      <c r="O8" s="1" t="n"/>
    </row>
    <row r="9" ht="20" customHeight="1">
      <c r="A9" s="10" t="n"/>
      <c r="B9" s="15" t="inlineStr">
        <is>
          <t>Book Tracker</t>
        </is>
      </c>
      <c r="C9" s="11" t="n"/>
      <c r="D9" s="44" t="n"/>
      <c r="E9" s="44" t="n"/>
      <c r="F9" s="44" t="n"/>
      <c r="G9" s="44" t="n"/>
      <c r="H9" s="44" t="n"/>
      <c r="I9" s="44" t="n"/>
      <c r="J9" s="44" t="n"/>
      <c r="K9" s="1" t="n"/>
      <c r="L9" s="1" t="n"/>
      <c r="M9" s="1" t="n"/>
      <c r="N9" s="1" t="n"/>
      <c r="O9" s="1" t="n"/>
    </row>
    <row r="10" ht="15" customHeight="1">
      <c r="A10" s="10" t="n"/>
      <c r="B10" s="15" t="inlineStr">
        <is>
          <t>Books Gallery</t>
        </is>
      </c>
      <c r="C10" s="11" t="n"/>
      <c r="D10" s="45" t="n">
        <v>5</v>
      </c>
      <c r="E10" s="43" t="n">
        <v>6</v>
      </c>
      <c r="F10" s="43" t="n">
        <v>7</v>
      </c>
      <c r="G10" s="43" t="n">
        <v>8</v>
      </c>
      <c r="H10" s="43" t="n">
        <v>9</v>
      </c>
      <c r="I10" s="43" t="n">
        <v>10</v>
      </c>
      <c r="J10" s="43" t="n">
        <v>11</v>
      </c>
      <c r="K10" s="1" t="n"/>
      <c r="L10" s="1" t="n"/>
      <c r="M10" s="1" t="n"/>
      <c r="N10" s="1" t="n"/>
      <c r="O10" s="1" t="n"/>
    </row>
    <row r="11" ht="20" customHeight="1">
      <c r="A11" s="10" t="n"/>
      <c r="B11" s="10" t="n"/>
      <c r="C11" s="11" t="n"/>
      <c r="D11" s="46" t="inlineStr">
        <is>
          <t>The Great Gatsb</t>
        </is>
      </c>
      <c r="E11" s="44" t="n"/>
      <c r="F11" s="44" t="n"/>
      <c r="G11" s="44" t="n"/>
      <c r="H11" s="44" t="n"/>
      <c r="I11" s="44" t="n"/>
      <c r="J11" s="44" t="n"/>
      <c r="K11" s="1" t="n"/>
      <c r="L11" s="1" t="n"/>
      <c r="M11" s="1" t="n"/>
      <c r="N11" s="1" t="n"/>
      <c r="O11" s="1" t="n"/>
    </row>
    <row r="12" ht="15" customHeight="1">
      <c r="A12" s="10" t="n"/>
      <c r="B12" s="14" t="inlineStr">
        <is>
          <t>PLANNING</t>
        </is>
      </c>
      <c r="C12" s="11" t="n"/>
      <c r="D12" s="43" t="n">
        <v>12</v>
      </c>
      <c r="E12" s="43" t="n">
        <v>13</v>
      </c>
      <c r="F12" s="43" t="n">
        <v>14</v>
      </c>
      <c r="G12" s="43" t="n">
        <v>15</v>
      </c>
      <c r="H12" s="43" t="n">
        <v>16</v>
      </c>
      <c r="I12" s="43" t="n">
        <v>17</v>
      </c>
      <c r="J12" s="43" t="n">
        <v>18</v>
      </c>
      <c r="K12" s="1" t="n"/>
      <c r="L12" s="1" t="n"/>
      <c r="M12" s="1" t="n"/>
      <c r="N12" s="1" t="n"/>
      <c r="O12" s="1" t="n"/>
    </row>
    <row r="13" ht="20" customHeight="1">
      <c r="A13" s="16" t="n"/>
      <c r="B13" s="17" t="inlineStr">
        <is>
          <t>Reading Calendar</t>
        </is>
      </c>
      <c r="C13" s="18" t="n"/>
      <c r="D13" s="44" t="n"/>
      <c r="E13" s="44" t="n"/>
      <c r="F13" s="44" t="n"/>
      <c r="G13" s="44" t="n"/>
      <c r="H13" s="44" t="n"/>
      <c r="I13" s="44" t="n"/>
      <c r="J13" s="44" t="n"/>
      <c r="K13" s="1" t="n"/>
      <c r="L13" s="1" t="n"/>
      <c r="M13" s="1" t="n"/>
      <c r="N13" s="1" t="n"/>
      <c r="O13" s="1" t="n"/>
    </row>
    <row r="14" ht="15" customHeight="1">
      <c r="A14" s="10" t="n"/>
      <c r="B14" s="15" t="inlineStr">
        <is>
          <t>Wishlist</t>
        </is>
      </c>
      <c r="C14" s="11" t="n"/>
      <c r="D14" s="43" t="n">
        <v>19</v>
      </c>
      <c r="E14" s="43" t="n">
        <v>20</v>
      </c>
      <c r="F14" s="43" t="n">
        <v>21</v>
      </c>
      <c r="G14" s="45" t="n">
        <v>22</v>
      </c>
      <c r="H14" s="43" t="n">
        <v>23</v>
      </c>
      <c r="I14" s="43" t="n">
        <v>24</v>
      </c>
      <c r="J14" s="43" t="n">
        <v>25</v>
      </c>
      <c r="K14" s="1" t="n"/>
      <c r="L14" s="1" t="n"/>
      <c r="M14" s="1" t="n"/>
      <c r="N14" s="1" t="n"/>
      <c r="O14" s="1" t="n"/>
    </row>
    <row r="15" ht="20" customHeight="1">
      <c r="A15" s="10" t="n"/>
      <c r="B15" s="10" t="n"/>
      <c r="C15" s="11" t="n"/>
      <c r="D15" s="44" t="n"/>
      <c r="E15" s="44" t="n"/>
      <c r="F15" s="44" t="n"/>
      <c r="G15" s="46" t="inlineStr">
        <is>
          <t>Dune</t>
        </is>
      </c>
      <c r="H15" s="44" t="n"/>
      <c r="I15" s="44" t="n"/>
      <c r="J15" s="44" t="n"/>
      <c r="K15" s="1" t="n"/>
      <c r="L15" s="1" t="n"/>
      <c r="M15" s="1" t="n"/>
      <c r="N15" s="1" t="n"/>
      <c r="O15" s="1" t="n"/>
    </row>
    <row r="16" ht="15" customHeight="1">
      <c r="A16" s="10" t="n"/>
      <c r="B16" s="14" t="inlineStr">
        <is>
          <t>OVERVIEW</t>
        </is>
      </c>
      <c r="C16" s="11" t="n"/>
      <c r="D16" s="43" t="n">
        <v>26</v>
      </c>
      <c r="E16" s="43" t="n">
        <v>27</v>
      </c>
      <c r="F16" s="43" t="n">
        <v>28</v>
      </c>
      <c r="G16" s="43" t="n">
        <v>29</v>
      </c>
      <c r="H16" s="43" t="n">
        <v>30</v>
      </c>
      <c r="I16" s="43" t="n">
        <v>31</v>
      </c>
      <c r="J16" s="42" t="n"/>
      <c r="K16" s="1" t="n"/>
      <c r="L16" s="1" t="n"/>
      <c r="M16" s="1" t="n"/>
      <c r="N16" s="1" t="n"/>
      <c r="O16" s="1" t="n"/>
    </row>
    <row r="17" ht="20" customHeight="1">
      <c r="A17" s="10" t="n"/>
      <c r="B17" s="15" t="inlineStr">
        <is>
          <t>Dashboard</t>
        </is>
      </c>
      <c r="C17" s="11" t="n"/>
      <c r="D17" s="44" t="n"/>
      <c r="E17" s="44" t="n"/>
      <c r="F17" s="44" t="n"/>
      <c r="G17" s="44" t="n"/>
      <c r="H17" s="44" t="n"/>
      <c r="I17" s="44" t="n"/>
      <c r="J17" s="44" t="n"/>
      <c r="K17" s="1" t="n"/>
      <c r="L17" s="1" t="n"/>
      <c r="M17" s="1" t="n"/>
      <c r="N17" s="1" t="n"/>
      <c r="O17" s="1" t="n"/>
    </row>
    <row r="18" ht="15.75" customHeight="1">
      <c r="A18" s="10" t="n"/>
      <c r="B18" s="10" t="n"/>
      <c r="C18" s="1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5.75" customHeight="1">
      <c r="A19" s="10" t="n"/>
      <c r="B19" s="10" t="n"/>
      <c r="C19" s="1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15.75" customHeight="1">
      <c r="A20" s="10" t="n"/>
      <c r="B20" s="10" t="n"/>
      <c r="C20" s="1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5.75" customHeight="1">
      <c r="A21" s="10" t="n"/>
      <c r="B21" s="10" t="n"/>
      <c r="C21" s="1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5.75" customHeight="1">
      <c r="A22" s="10" t="n"/>
      <c r="B22" s="10" t="n"/>
      <c r="C22" s="11" t="n"/>
      <c r="D22" s="8" t="inlineStr">
        <is>
          <t>MONTHLY SUMMARY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5.75" customHeight="1">
      <c r="A23" s="10" t="n"/>
      <c r="B23" s="10" t="n"/>
      <c r="C23" s="11" t="n"/>
      <c r="D23" s="6" t="inlineStr">
        <is>
          <t>Books finished:</t>
        </is>
      </c>
      <c r="E23" s="9" t="n">
        <v>2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5.75" customHeight="1">
      <c r="A24" s="10" t="n"/>
      <c r="B24" s="10" t="n"/>
      <c r="C24" s="11" t="n"/>
      <c r="D24" s="6" t="inlineStr">
        <is>
          <t>Pages read:</t>
        </is>
      </c>
      <c r="E24" s="9" t="inlineStr">
        <is>
          <t>592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15.75" customHeight="1">
      <c r="A25" s="10" t="n"/>
      <c r="B25" s="10" t="n"/>
      <c r="C25" s="11" t="n"/>
      <c r="D25" s="6" t="inlineStr">
        <is>
          <t>Current Streak:</t>
        </is>
      </c>
      <c r="E25" s="9" t="inlineStr">
        <is>
          <t>5 days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15.75" customHeight="1">
      <c r="A26" s="10" t="n"/>
      <c r="B26" s="10" t="n"/>
      <c r="C26" s="1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15.75" customHeight="1">
      <c r="A27" s="10" t="n"/>
      <c r="B27" s="10" t="n"/>
      <c r="C27" s="1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15.75" customHeight="1">
      <c r="A28" s="10" t="n"/>
      <c r="B28" s="10" t="n"/>
      <c r="C28" s="1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15.75" customHeight="1">
      <c r="A29" s="10" t="n"/>
      <c r="B29" s="10" t="n"/>
      <c r="C29" s="1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15.75" customHeight="1">
      <c r="A30" s="10" t="n"/>
      <c r="B30" s="10" t="n"/>
      <c r="C30" s="1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 ht="15.75" customHeight="1">
      <c r="A31" s="10" t="n"/>
      <c r="B31" s="10" t="n"/>
      <c r="C31" s="11" t="n"/>
    </row>
    <row r="32" ht="15.75" customHeight="1">
      <c r="A32" s="10" t="n"/>
      <c r="B32" s="10" t="n"/>
      <c r="C32" s="11" t="n"/>
    </row>
    <row r="33" ht="15.75" customHeight="1">
      <c r="A33" s="10" t="n"/>
      <c r="B33" s="10" t="n"/>
      <c r="C33" s="11" t="n"/>
    </row>
    <row r="34" ht="15.75" customHeight="1">
      <c r="A34" s="10" t="n"/>
      <c r="B34" s="10" t="n"/>
      <c r="C34" s="11" t="n"/>
    </row>
    <row r="35" ht="15.75" customHeight="1">
      <c r="A35" s="10" t="n"/>
      <c r="B35" s="10" t="n"/>
      <c r="C35" s="11" t="n"/>
    </row>
    <row r="36" ht="15.75" customHeight="1">
      <c r="A36" s="10" t="n"/>
      <c r="B36" s="10" t="n"/>
      <c r="C36" s="11" t="n"/>
    </row>
    <row r="37" ht="15.75" customHeight="1">
      <c r="A37" s="10" t="n"/>
      <c r="B37" s="10" t="n"/>
      <c r="C37" s="11" t="n"/>
    </row>
    <row r="38" ht="15.75" customHeight="1">
      <c r="A38" s="10" t="n"/>
      <c r="B38" s="10" t="n"/>
      <c r="C38" s="11" t="n"/>
    </row>
    <row r="39" ht="15.75" customHeight="1">
      <c r="A39" s="10" t="n"/>
      <c r="B39" s="10" t="n"/>
      <c r="C39" s="11" t="n"/>
    </row>
    <row r="40" ht="15.75" customHeight="1">
      <c r="A40" s="10" t="n"/>
      <c r="B40" s="10" t="n"/>
      <c r="C40" s="11" t="n"/>
    </row>
    <row r="41" ht="15.75" customHeight="1">
      <c r="A41" s="10" t="n"/>
      <c r="B41" s="10" t="n"/>
      <c r="C41" s="11" t="n"/>
    </row>
    <row r="42" ht="15.75" customHeight="1">
      <c r="A42" s="10" t="n"/>
      <c r="B42" s="10" t="n"/>
      <c r="C42" s="11" t="n"/>
    </row>
    <row r="43" ht="15.75" customHeight="1">
      <c r="A43" s="10" t="n"/>
      <c r="B43" s="10" t="n"/>
      <c r="C43" s="11" t="n"/>
    </row>
    <row r="44" ht="15.75" customHeight="1">
      <c r="A44" s="10" t="n"/>
      <c r="B44" s="10" t="n"/>
      <c r="C44" s="11" t="n"/>
    </row>
    <row r="45" ht="15.75" customHeight="1">
      <c r="A45" s="10" t="n"/>
      <c r="B45" s="10" t="n"/>
      <c r="C45" s="11" t="n"/>
    </row>
    <row r="46" ht="15.75" customHeight="1">
      <c r="A46" s="10" t="n"/>
      <c r="B46" s="10" t="n"/>
      <c r="C46" s="11" t="n"/>
    </row>
    <row r="47" ht="15.75" customHeight="1">
      <c r="A47" s="10" t="n"/>
      <c r="B47" s="10" t="n"/>
      <c r="C47" s="11" t="n"/>
    </row>
    <row r="48" ht="15.75" customHeight="1">
      <c r="A48" s="10" t="n"/>
      <c r="B48" s="10" t="n"/>
      <c r="C48" s="11" t="n"/>
    </row>
    <row r="49" ht="15.75" customHeight="1">
      <c r="A49" s="10" t="n"/>
      <c r="B49" s="10" t="n"/>
      <c r="C49" s="11" t="n"/>
    </row>
    <row r="50" ht="15.75" customHeight="1">
      <c r="A50" s="10" t="n"/>
      <c r="B50" s="10" t="n"/>
      <c r="C50" s="11" t="n"/>
    </row>
    <row r="51" ht="15.75" customHeight="1">
      <c r="A51" s="10" t="n"/>
      <c r="B51" s="10" t="n"/>
      <c r="C51" s="11" t="n"/>
    </row>
    <row r="52" ht="15.75" customHeight="1">
      <c r="A52" s="10" t="n"/>
      <c r="B52" s="10" t="n"/>
      <c r="C52" s="11" t="n"/>
    </row>
    <row r="53" ht="15.75" customHeight="1">
      <c r="A53" s="10" t="n"/>
      <c r="B53" s="10" t="n"/>
      <c r="C53" s="11" t="n"/>
    </row>
    <row r="54" ht="15.75" customHeight="1">
      <c r="A54" s="10" t="n"/>
      <c r="B54" s="10" t="n"/>
      <c r="C54" s="11" t="n"/>
    </row>
    <row r="55" ht="15.75" customHeight="1"/>
    <row r="56" ht="15.75" customHeight="1"/>
    <row r="57" ht="15.75" customHeight="1"/>
    <row r="58" ht="15.75" customHeight="1"/>
    <row r="59" ht="15.75" customHeight="1"/>
  </sheetData>
  <mergeCells count="1">
    <mergeCell ref="D5:J5"/>
  </mergeCells>
  <dataValidations count="1">
    <dataValidation sqref="E3" showDropDown="0" showInputMessage="0" showErrorMessage="0" allowBlank="1" errorTitle="Invalid Entry" error="Please select from the dropdown" type="list">
      <formula1>"Jan 2026,Feb 2026,Mar 2026,Apr 2026,May 2026,Jun 2026,Jul 2026,Aug 2026,Sep 2026,Oct 2026,Nov 2026,Dec 2026"</formula1>
    </dataValidation>
  </dataValidations>
  <hyperlinks>
    <hyperlink ref="B5" location="'Instructions'!D1" display="Instructions"/>
    <hyperlink ref="B6" location="'Setup'!D1" display="Setup"/>
    <hyperlink ref="B9" location="'Book Tracker'!D1" display="Book Tracker"/>
    <hyperlink ref="B10" location="'Books Gallery'!D1" display="Books Gallery"/>
    <hyperlink ref="B14" location="'Wishlist'!D1" display="Wishlist"/>
    <hyperlink ref="B17" location="'Dashboard'!D1" display="Dashboard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1B29A"/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5" customWidth="1" min="4" max="4"/>
    <col width="28" customWidth="1" min="5" max="5"/>
    <col width="22" customWidth="1" min="6" max="6"/>
    <col width="18" customWidth="1" min="7" max="7"/>
    <col width="12" customWidth="1" min="8" max="8"/>
    <col width="20" customWidth="1" min="9" max="9"/>
    <col width="18" customWidth="1" min="10" max="10"/>
    <col width="30" customWidth="1" min="11" max="11"/>
  </cols>
  <sheetData>
    <row r="1" ht="15.75" customHeight="1">
      <c r="A1" s="10" t="n"/>
      <c r="B1" s="10" t="n"/>
      <c r="C1" s="1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5.75" customHeight="1">
      <c r="A2" s="10" t="n"/>
      <c r="B2" s="12" t="inlineStr">
        <is>
          <t>📚 BOOK TRACKER</t>
        </is>
      </c>
      <c r="C2" s="1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5.75" customHeight="1">
      <c r="A3" s="10" t="n"/>
      <c r="B3" s="10" t="n"/>
      <c r="C3" s="1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5.75" customHeight="1">
      <c r="A4" s="10" t="n"/>
      <c r="B4" s="14" t="inlineStr">
        <is>
          <t>SETUP</t>
        </is>
      </c>
      <c r="C4" s="1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8" customHeight="1">
      <c r="A5" s="10" t="n"/>
      <c r="B5" s="15" t="inlineStr">
        <is>
          <t>Instructions</t>
        </is>
      </c>
      <c r="C5" s="11" t="n"/>
      <c r="D5" s="13" t="inlineStr">
        <is>
          <t>💫  MY WISHLIST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5.75" customHeight="1">
      <c r="A6" s="10" t="n"/>
      <c r="B6" s="15" t="inlineStr">
        <is>
          <t>Setup</t>
        </is>
      </c>
      <c r="C6" s="1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28" customHeight="1">
      <c r="A7" s="10" t="n"/>
      <c r="B7" s="10" t="n"/>
      <c r="C7" s="11" t="n"/>
      <c r="D7" s="27" t="inlineStr">
        <is>
          <t>#</t>
        </is>
      </c>
      <c r="E7" s="27" t="inlineStr">
        <is>
          <t>TITLE</t>
        </is>
      </c>
      <c r="F7" s="27" t="inlineStr">
        <is>
          <t>AUTHOR</t>
        </is>
      </c>
      <c r="G7" s="27" t="inlineStr">
        <is>
          <t>GENRE</t>
        </is>
      </c>
      <c r="H7" s="27" t="inlineStr">
        <is>
          <t>PRIORITY</t>
        </is>
      </c>
      <c r="I7" s="27" t="inlineStr">
        <is>
          <t>SOURCE/LINK</t>
        </is>
      </c>
      <c r="J7" s="27" t="inlineStr">
        <is>
          <t>RECOMMENDED BY</t>
        </is>
      </c>
      <c r="K7" s="27" t="inlineStr">
        <is>
          <t>NOTES</t>
        </is>
      </c>
      <c r="L7" s="1" t="n"/>
      <c r="M7" s="1" t="n"/>
      <c r="N7" s="1" t="n"/>
      <c r="O7" s="1" t="n"/>
    </row>
    <row r="8" ht="15.75" customHeight="1">
      <c r="A8" s="10" t="n"/>
      <c r="B8" s="14" t="inlineStr">
        <is>
          <t>LIBRARY</t>
        </is>
      </c>
      <c r="C8" s="11" t="n"/>
      <c r="D8" s="28" t="n">
        <v>1</v>
      </c>
      <c r="E8" s="29" t="n"/>
      <c r="F8" s="29" t="n"/>
      <c r="G8" s="29" t="n"/>
      <c r="H8" s="29" t="n"/>
      <c r="I8" s="29" t="n"/>
      <c r="J8" s="29" t="n"/>
      <c r="K8" s="29" t="n"/>
      <c r="L8" s="1" t="n"/>
      <c r="M8" s="1" t="n"/>
      <c r="N8" s="1" t="n"/>
      <c r="O8" s="1" t="n"/>
    </row>
    <row r="9" ht="15.75" customHeight="1">
      <c r="A9" s="10" t="n"/>
      <c r="B9" s="15" t="inlineStr">
        <is>
          <t>Book Tracker</t>
        </is>
      </c>
      <c r="C9" s="11" t="n"/>
      <c r="D9" s="32" t="n">
        <v>2</v>
      </c>
      <c r="E9" s="33" t="n"/>
      <c r="F9" s="33" t="n"/>
      <c r="G9" s="33" t="n"/>
      <c r="H9" s="33" t="n"/>
      <c r="I9" s="33" t="n"/>
      <c r="J9" s="33" t="n"/>
      <c r="K9" s="33" t="n"/>
      <c r="L9" s="1" t="n"/>
      <c r="M9" s="1" t="n"/>
      <c r="N9" s="1" t="n"/>
      <c r="O9" s="1" t="n"/>
    </row>
    <row r="10" ht="15.75" customHeight="1">
      <c r="A10" s="10" t="n"/>
      <c r="B10" s="15" t="inlineStr">
        <is>
          <t>Books Gallery</t>
        </is>
      </c>
      <c r="C10" s="11" t="n"/>
      <c r="D10" s="28" t="n">
        <v>3</v>
      </c>
      <c r="E10" s="29" t="n"/>
      <c r="F10" s="29" t="n"/>
      <c r="G10" s="29" t="n"/>
      <c r="H10" s="29" t="n"/>
      <c r="I10" s="29" t="n"/>
      <c r="J10" s="29" t="n"/>
      <c r="K10" s="29" t="n"/>
      <c r="L10" s="1" t="n"/>
      <c r="M10" s="1" t="n"/>
      <c r="N10" s="1" t="n"/>
      <c r="O10" s="1" t="n"/>
    </row>
    <row r="11" ht="15.75" customHeight="1">
      <c r="A11" s="10" t="n"/>
      <c r="B11" s="10" t="n"/>
      <c r="C11" s="11" t="n"/>
      <c r="D11" s="32" t="n">
        <v>4</v>
      </c>
      <c r="E11" s="33" t="n"/>
      <c r="F11" s="33" t="n"/>
      <c r="G11" s="33" t="n"/>
      <c r="H11" s="33" t="n"/>
      <c r="I11" s="33" t="n"/>
      <c r="J11" s="33" t="n"/>
      <c r="K11" s="33" t="n"/>
      <c r="L11" s="1" t="n"/>
      <c r="M11" s="1" t="n"/>
      <c r="N11" s="1" t="n"/>
      <c r="O11" s="1" t="n"/>
    </row>
    <row r="12" ht="15.75" customHeight="1">
      <c r="A12" s="10" t="n"/>
      <c r="B12" s="14" t="inlineStr">
        <is>
          <t>PLANNING</t>
        </is>
      </c>
      <c r="C12" s="11" t="n"/>
      <c r="D12" s="28" t="n">
        <v>5</v>
      </c>
      <c r="E12" s="29" t="n"/>
      <c r="F12" s="29" t="n"/>
      <c r="G12" s="29" t="n"/>
      <c r="H12" s="29" t="n"/>
      <c r="I12" s="29" t="n"/>
      <c r="J12" s="29" t="n"/>
      <c r="K12" s="29" t="n"/>
      <c r="L12" s="1" t="n"/>
      <c r="M12" s="1" t="n"/>
      <c r="N12" s="1" t="n"/>
      <c r="O12" s="1" t="n"/>
    </row>
    <row r="13" ht="15.75" customHeight="1">
      <c r="A13" s="10" t="n"/>
      <c r="B13" s="15" t="inlineStr">
        <is>
          <t>Reading Calendar</t>
        </is>
      </c>
      <c r="C13" s="11" t="n"/>
      <c r="D13" s="32" t="n">
        <v>6</v>
      </c>
      <c r="E13" s="33" t="n"/>
      <c r="F13" s="33" t="n"/>
      <c r="G13" s="33" t="n"/>
      <c r="H13" s="33" t="n"/>
      <c r="I13" s="33" t="n"/>
      <c r="J13" s="33" t="n"/>
      <c r="K13" s="33" t="n"/>
      <c r="L13" s="1" t="n"/>
      <c r="M13" s="1" t="n"/>
      <c r="N13" s="1" t="n"/>
      <c r="O13" s="1" t="n"/>
    </row>
    <row r="14" ht="15.75" customHeight="1">
      <c r="A14" s="16" t="n"/>
      <c r="B14" s="17" t="inlineStr">
        <is>
          <t>Wishlist</t>
        </is>
      </c>
      <c r="C14" s="18" t="n"/>
      <c r="D14" s="28" t="n">
        <v>7</v>
      </c>
      <c r="E14" s="29" t="n"/>
      <c r="F14" s="29" t="n"/>
      <c r="G14" s="29" t="n"/>
      <c r="H14" s="29" t="n"/>
      <c r="I14" s="29" t="n"/>
      <c r="J14" s="29" t="n"/>
      <c r="K14" s="29" t="n"/>
      <c r="L14" s="1" t="n"/>
      <c r="M14" s="1" t="n"/>
      <c r="N14" s="1" t="n"/>
      <c r="O14" s="1" t="n"/>
    </row>
    <row r="15" ht="15.75" customHeight="1">
      <c r="A15" s="10" t="n"/>
      <c r="B15" s="10" t="n"/>
      <c r="C15" s="11" t="n"/>
      <c r="D15" s="32" t="n">
        <v>8</v>
      </c>
      <c r="E15" s="33" t="n"/>
      <c r="F15" s="33" t="n"/>
      <c r="G15" s="33" t="n"/>
      <c r="H15" s="33" t="n"/>
      <c r="I15" s="33" t="n"/>
      <c r="J15" s="33" t="n"/>
      <c r="K15" s="33" t="n"/>
      <c r="L15" s="1" t="n"/>
      <c r="M15" s="1" t="n"/>
      <c r="N15" s="1" t="n"/>
      <c r="O15" s="1" t="n"/>
    </row>
    <row r="16" ht="15.75" customHeight="1">
      <c r="A16" s="10" t="n"/>
      <c r="B16" s="14" t="inlineStr">
        <is>
          <t>OVERVIEW</t>
        </is>
      </c>
      <c r="C16" s="11" t="n"/>
      <c r="D16" s="28" t="n">
        <v>9</v>
      </c>
      <c r="E16" s="29" t="n"/>
      <c r="F16" s="29" t="n"/>
      <c r="G16" s="29" t="n"/>
      <c r="H16" s="29" t="n"/>
      <c r="I16" s="29" t="n"/>
      <c r="J16" s="29" t="n"/>
      <c r="K16" s="29" t="n"/>
      <c r="L16" s="1" t="n"/>
      <c r="M16" s="1" t="n"/>
      <c r="N16" s="1" t="n"/>
      <c r="O16" s="1" t="n"/>
    </row>
    <row r="17" ht="15.75" customHeight="1">
      <c r="A17" s="10" t="n"/>
      <c r="B17" s="15" t="inlineStr">
        <is>
          <t>Dashboard</t>
        </is>
      </c>
      <c r="C17" s="11" t="n"/>
      <c r="D17" s="32" t="n">
        <v>10</v>
      </c>
      <c r="E17" s="33" t="n"/>
      <c r="F17" s="33" t="n"/>
      <c r="G17" s="33" t="n"/>
      <c r="H17" s="33" t="n"/>
      <c r="I17" s="33" t="n"/>
      <c r="J17" s="33" t="n"/>
      <c r="K17" s="33" t="n"/>
      <c r="L17" s="1" t="n"/>
      <c r="M17" s="1" t="n"/>
      <c r="N17" s="1" t="n"/>
      <c r="O17" s="1" t="n"/>
    </row>
    <row r="18" ht="15.75" customHeight="1">
      <c r="A18" s="10" t="n"/>
      <c r="B18" s="10" t="n"/>
      <c r="C18" s="11" t="n"/>
      <c r="D18" s="28" t="n">
        <v>11</v>
      </c>
      <c r="E18" s="29" t="n"/>
      <c r="F18" s="29" t="n"/>
      <c r="G18" s="29" t="n"/>
      <c r="H18" s="29" t="n"/>
      <c r="I18" s="29" t="n"/>
      <c r="J18" s="29" t="n"/>
      <c r="K18" s="29" t="n"/>
      <c r="L18" s="1" t="n"/>
      <c r="M18" s="1" t="n"/>
      <c r="N18" s="1" t="n"/>
      <c r="O18" s="1" t="n"/>
    </row>
    <row r="19" ht="15.75" customHeight="1">
      <c r="A19" s="10" t="n"/>
      <c r="B19" s="10" t="n"/>
      <c r="C19" s="11" t="n"/>
      <c r="D19" s="32" t="n">
        <v>12</v>
      </c>
      <c r="E19" s="33" t="n"/>
      <c r="F19" s="33" t="n"/>
      <c r="G19" s="33" t="n"/>
      <c r="H19" s="33" t="n"/>
      <c r="I19" s="33" t="n"/>
      <c r="J19" s="33" t="n"/>
      <c r="K19" s="33" t="n"/>
      <c r="L19" s="1" t="n"/>
      <c r="M19" s="1" t="n"/>
      <c r="N19" s="1" t="n"/>
      <c r="O19" s="1" t="n"/>
    </row>
    <row r="20" ht="15.75" customHeight="1">
      <c r="A20" s="10" t="n"/>
      <c r="B20" s="10" t="n"/>
      <c r="C20" s="11" t="n"/>
      <c r="D20" s="28" t="n">
        <v>13</v>
      </c>
      <c r="E20" s="29" t="n"/>
      <c r="F20" s="29" t="n"/>
      <c r="G20" s="29" t="n"/>
      <c r="H20" s="29" t="n"/>
      <c r="I20" s="29" t="n"/>
      <c r="J20" s="29" t="n"/>
      <c r="K20" s="29" t="n"/>
      <c r="L20" s="1" t="n"/>
      <c r="M20" s="1" t="n"/>
      <c r="N20" s="1" t="n"/>
      <c r="O20" s="1" t="n"/>
    </row>
    <row r="21" ht="15.75" customHeight="1">
      <c r="A21" s="10" t="n"/>
      <c r="B21" s="10" t="n"/>
      <c r="C21" s="11" t="n"/>
      <c r="D21" s="32" t="n">
        <v>14</v>
      </c>
      <c r="E21" s="33" t="n"/>
      <c r="F21" s="33" t="n"/>
      <c r="G21" s="33" t="n"/>
      <c r="H21" s="33" t="n"/>
      <c r="I21" s="33" t="n"/>
      <c r="J21" s="33" t="n"/>
      <c r="K21" s="33" t="n"/>
      <c r="L21" s="1" t="n"/>
      <c r="M21" s="1" t="n"/>
      <c r="N21" s="1" t="n"/>
      <c r="O21" s="1" t="n"/>
    </row>
    <row r="22" ht="15.75" customHeight="1">
      <c r="A22" s="10" t="n"/>
      <c r="B22" s="10" t="n"/>
      <c r="C22" s="11" t="n"/>
      <c r="D22" s="28" t="n">
        <v>15</v>
      </c>
      <c r="E22" s="29" t="n"/>
      <c r="F22" s="29" t="n"/>
      <c r="G22" s="29" t="n"/>
      <c r="H22" s="29" t="n"/>
      <c r="I22" s="29" t="n"/>
      <c r="J22" s="29" t="n"/>
      <c r="K22" s="29" t="n"/>
      <c r="L22" s="1" t="n"/>
      <c r="M22" s="1" t="n"/>
      <c r="N22" s="1" t="n"/>
      <c r="O22" s="1" t="n"/>
    </row>
    <row r="23" ht="15.75" customHeight="1">
      <c r="A23" s="10" t="n"/>
      <c r="B23" s="10" t="n"/>
      <c r="C23" s="11" t="n"/>
      <c r="D23" s="32" t="n">
        <v>16</v>
      </c>
      <c r="E23" s="33" t="n"/>
      <c r="F23" s="33" t="n"/>
      <c r="G23" s="33" t="n"/>
      <c r="H23" s="33" t="n"/>
      <c r="I23" s="33" t="n"/>
      <c r="J23" s="33" t="n"/>
      <c r="K23" s="33" t="n"/>
      <c r="L23" s="1" t="n"/>
      <c r="M23" s="1" t="n"/>
      <c r="N23" s="1" t="n"/>
      <c r="O23" s="1" t="n"/>
    </row>
    <row r="24" ht="15.75" customHeight="1">
      <c r="A24" s="10" t="n"/>
      <c r="B24" s="10" t="n"/>
      <c r="C24" s="11" t="n"/>
      <c r="D24" s="28" t="n">
        <v>17</v>
      </c>
      <c r="E24" s="29" t="n"/>
      <c r="F24" s="29" t="n"/>
      <c r="G24" s="29" t="n"/>
      <c r="H24" s="29" t="n"/>
      <c r="I24" s="29" t="n"/>
      <c r="J24" s="29" t="n"/>
      <c r="K24" s="29" t="n"/>
      <c r="L24" s="1" t="n"/>
      <c r="M24" s="1" t="n"/>
      <c r="N24" s="1" t="n"/>
      <c r="O24" s="1" t="n"/>
    </row>
    <row r="25" ht="15.75" customHeight="1">
      <c r="A25" s="10" t="n"/>
      <c r="B25" s="10" t="n"/>
      <c r="C25" s="11" t="n"/>
      <c r="D25" s="32" t="n">
        <v>18</v>
      </c>
      <c r="E25" s="33" t="n"/>
      <c r="F25" s="33" t="n"/>
      <c r="G25" s="33" t="n"/>
      <c r="H25" s="33" t="n"/>
      <c r="I25" s="33" t="n"/>
      <c r="J25" s="33" t="n"/>
      <c r="K25" s="33" t="n"/>
      <c r="L25" s="1" t="n"/>
      <c r="M25" s="1" t="n"/>
      <c r="N25" s="1" t="n"/>
      <c r="O25" s="1" t="n"/>
    </row>
    <row r="26" ht="15.75" customHeight="1">
      <c r="A26" s="10" t="n"/>
      <c r="B26" s="10" t="n"/>
      <c r="C26" s="11" t="n"/>
      <c r="D26" s="28" t="n">
        <v>19</v>
      </c>
      <c r="E26" s="29" t="n"/>
      <c r="F26" s="29" t="n"/>
      <c r="G26" s="29" t="n"/>
      <c r="H26" s="29" t="n"/>
      <c r="I26" s="29" t="n"/>
      <c r="J26" s="29" t="n"/>
      <c r="K26" s="29" t="n"/>
      <c r="L26" s="1" t="n"/>
      <c r="M26" s="1" t="n"/>
      <c r="N26" s="1" t="n"/>
      <c r="O26" s="1" t="n"/>
    </row>
    <row r="27" ht="15.75" customHeight="1">
      <c r="A27" s="10" t="n"/>
      <c r="B27" s="10" t="n"/>
      <c r="C27" s="11" t="n"/>
      <c r="D27" s="32" t="n">
        <v>20</v>
      </c>
      <c r="E27" s="33" t="n"/>
      <c r="F27" s="33" t="n"/>
      <c r="G27" s="33" t="n"/>
      <c r="H27" s="33" t="n"/>
      <c r="I27" s="33" t="n"/>
      <c r="J27" s="33" t="n"/>
      <c r="K27" s="33" t="n"/>
      <c r="L27" s="1" t="n"/>
      <c r="M27" s="1" t="n"/>
      <c r="N27" s="1" t="n"/>
      <c r="O27" s="1" t="n"/>
    </row>
    <row r="28" ht="15.75" customHeight="1">
      <c r="A28" s="10" t="n"/>
      <c r="B28" s="10" t="n"/>
      <c r="C28" s="11" t="n"/>
      <c r="D28" s="28" t="n">
        <v>21</v>
      </c>
      <c r="E28" s="29" t="n"/>
      <c r="F28" s="29" t="n"/>
      <c r="G28" s="29" t="n"/>
      <c r="H28" s="29" t="n"/>
      <c r="I28" s="29" t="n"/>
      <c r="J28" s="29" t="n"/>
      <c r="K28" s="29" t="n"/>
      <c r="L28" s="1" t="n"/>
      <c r="M28" s="1" t="n"/>
      <c r="N28" s="1" t="n"/>
      <c r="O28" s="1" t="n"/>
    </row>
    <row r="29" ht="15.75" customHeight="1">
      <c r="A29" s="10" t="n"/>
      <c r="B29" s="10" t="n"/>
      <c r="C29" s="11" t="n"/>
      <c r="D29" s="32" t="n">
        <v>22</v>
      </c>
      <c r="E29" s="33" t="n"/>
      <c r="F29" s="33" t="n"/>
      <c r="G29" s="33" t="n"/>
      <c r="H29" s="33" t="n"/>
      <c r="I29" s="33" t="n"/>
      <c r="J29" s="33" t="n"/>
      <c r="K29" s="33" t="n"/>
      <c r="L29" s="1" t="n"/>
      <c r="M29" s="1" t="n"/>
      <c r="N29" s="1" t="n"/>
      <c r="O29" s="1" t="n"/>
    </row>
    <row r="30" ht="15.75" customHeight="1">
      <c r="A30" s="10" t="n"/>
      <c r="B30" s="10" t="n"/>
      <c r="C30" s="11" t="n"/>
      <c r="D30" s="28" t="n">
        <v>23</v>
      </c>
      <c r="E30" s="29" t="n"/>
      <c r="F30" s="29" t="n"/>
      <c r="G30" s="29" t="n"/>
      <c r="H30" s="29" t="n"/>
      <c r="I30" s="29" t="n"/>
      <c r="J30" s="29" t="n"/>
      <c r="K30" s="29" t="n"/>
      <c r="L30" s="1" t="n"/>
      <c r="M30" s="1" t="n"/>
      <c r="N30" s="1" t="n"/>
      <c r="O30" s="1" t="n"/>
    </row>
    <row r="31" ht="15.75" customHeight="1">
      <c r="A31" s="10" t="n"/>
      <c r="B31" s="10" t="n"/>
      <c r="C31" s="11" t="n"/>
      <c r="D31" s="32" t="n">
        <v>24</v>
      </c>
      <c r="E31" s="33" t="n"/>
      <c r="F31" s="33" t="n"/>
      <c r="G31" s="33" t="n"/>
      <c r="H31" s="33" t="n"/>
      <c r="I31" s="33" t="n"/>
      <c r="J31" s="33" t="n"/>
      <c r="K31" s="33" t="n"/>
      <c r="L31" s="1" t="n"/>
      <c r="M31" s="1" t="n"/>
      <c r="N31" s="1" t="n"/>
      <c r="O31" s="1" t="n"/>
    </row>
    <row r="32" ht="15.75" customHeight="1">
      <c r="A32" s="10" t="n"/>
      <c r="B32" s="10" t="n"/>
      <c r="C32" s="11" t="n"/>
      <c r="D32" s="28" t="n">
        <v>25</v>
      </c>
      <c r="E32" s="29" t="n"/>
      <c r="F32" s="29" t="n"/>
      <c r="G32" s="29" t="n"/>
      <c r="H32" s="29" t="n"/>
      <c r="I32" s="29" t="n"/>
      <c r="J32" s="29" t="n"/>
      <c r="K32" s="29" t="n"/>
      <c r="L32" s="1" t="n"/>
      <c r="M32" s="1" t="n"/>
      <c r="N32" s="1" t="n"/>
      <c r="O32" s="1" t="n"/>
    </row>
    <row r="33" ht="15.75" customHeight="1">
      <c r="A33" s="10" t="n"/>
      <c r="B33" s="10" t="n"/>
      <c r="C33" s="11" t="n"/>
      <c r="D33" s="32" t="n">
        <v>26</v>
      </c>
      <c r="E33" s="33" t="n"/>
      <c r="F33" s="33" t="n"/>
      <c r="G33" s="33" t="n"/>
      <c r="H33" s="33" t="n"/>
      <c r="I33" s="33" t="n"/>
      <c r="J33" s="33" t="n"/>
      <c r="K33" s="33" t="n"/>
      <c r="L33" s="1" t="n"/>
      <c r="M33" s="1" t="n"/>
      <c r="N33" s="1" t="n"/>
      <c r="O33" s="1" t="n"/>
    </row>
    <row r="34" ht="15.75" customHeight="1">
      <c r="A34" s="10" t="n"/>
      <c r="B34" s="10" t="n"/>
      <c r="C34" s="11" t="n"/>
      <c r="D34" s="28" t="n">
        <v>27</v>
      </c>
      <c r="E34" s="29" t="n"/>
      <c r="F34" s="29" t="n"/>
      <c r="G34" s="29" t="n"/>
      <c r="H34" s="29" t="n"/>
      <c r="I34" s="29" t="n"/>
      <c r="J34" s="29" t="n"/>
      <c r="K34" s="29" t="n"/>
      <c r="L34" s="1" t="n"/>
      <c r="M34" s="1" t="n"/>
      <c r="N34" s="1" t="n"/>
      <c r="O34" s="1" t="n"/>
    </row>
    <row r="35" ht="15.75" customHeight="1">
      <c r="A35" s="10" t="n"/>
      <c r="B35" s="10" t="n"/>
      <c r="C35" s="11" t="n"/>
      <c r="D35" s="32" t="n">
        <v>28</v>
      </c>
      <c r="E35" s="33" t="n"/>
      <c r="F35" s="33" t="n"/>
      <c r="G35" s="33" t="n"/>
      <c r="H35" s="33" t="n"/>
      <c r="I35" s="33" t="n"/>
      <c r="J35" s="33" t="n"/>
      <c r="K35" s="33" t="n"/>
      <c r="L35" s="1" t="n"/>
      <c r="M35" s="1" t="n"/>
      <c r="N35" s="1" t="n"/>
      <c r="O35" s="1" t="n"/>
    </row>
    <row r="36" ht="15.75" customHeight="1">
      <c r="A36" s="10" t="n"/>
      <c r="B36" s="10" t="n"/>
      <c r="C36" s="11" t="n"/>
      <c r="D36" s="28" t="n">
        <v>29</v>
      </c>
      <c r="E36" s="29" t="n"/>
      <c r="F36" s="29" t="n"/>
      <c r="G36" s="29" t="n"/>
      <c r="H36" s="29" t="n"/>
      <c r="I36" s="29" t="n"/>
      <c r="J36" s="29" t="n"/>
      <c r="K36" s="29" t="n"/>
      <c r="L36" s="1" t="n"/>
      <c r="M36" s="1" t="n"/>
      <c r="N36" s="1" t="n"/>
      <c r="O36" s="1" t="n"/>
    </row>
    <row r="37" ht="15.75" customHeight="1">
      <c r="A37" s="10" t="n"/>
      <c r="B37" s="10" t="n"/>
      <c r="C37" s="11" t="n"/>
      <c r="D37" s="32" t="n">
        <v>30</v>
      </c>
      <c r="E37" s="33" t="n"/>
      <c r="F37" s="33" t="n"/>
      <c r="G37" s="33" t="n"/>
      <c r="H37" s="33" t="n"/>
      <c r="I37" s="33" t="n"/>
      <c r="J37" s="33" t="n"/>
      <c r="K37" s="33" t="n"/>
      <c r="L37" s="1" t="n"/>
      <c r="M37" s="1" t="n"/>
      <c r="N37" s="1" t="n"/>
      <c r="O37" s="1" t="n"/>
    </row>
    <row r="38" ht="15.75" customHeight="1">
      <c r="A38" s="10" t="n"/>
      <c r="B38" s="10" t="n"/>
      <c r="C38" s="11" t="n"/>
      <c r="D38" s="28" t="n">
        <v>31</v>
      </c>
      <c r="E38" s="29" t="n"/>
      <c r="F38" s="29" t="n"/>
      <c r="G38" s="29" t="n"/>
      <c r="H38" s="29" t="n"/>
      <c r="I38" s="29" t="n"/>
      <c r="J38" s="29" t="n"/>
      <c r="K38" s="29" t="n"/>
      <c r="L38" s="1" t="n"/>
      <c r="M38" s="1" t="n"/>
      <c r="N38" s="1" t="n"/>
      <c r="O38" s="1" t="n"/>
    </row>
    <row r="39" ht="15.75" customHeight="1">
      <c r="A39" s="10" t="n"/>
      <c r="B39" s="10" t="n"/>
      <c r="C39" s="11" t="n"/>
      <c r="D39" s="32" t="n">
        <v>32</v>
      </c>
      <c r="E39" s="33" t="n"/>
      <c r="F39" s="33" t="n"/>
      <c r="G39" s="33" t="n"/>
      <c r="H39" s="33" t="n"/>
      <c r="I39" s="33" t="n"/>
      <c r="J39" s="33" t="n"/>
      <c r="K39" s="33" t="n"/>
      <c r="L39" s="1" t="n"/>
      <c r="M39" s="1" t="n"/>
      <c r="N39" s="1" t="n"/>
      <c r="O39" s="1" t="n"/>
    </row>
    <row r="40" ht="15.75" customHeight="1">
      <c r="A40" s="10" t="n"/>
      <c r="B40" s="10" t="n"/>
      <c r="C40" s="11" t="n"/>
      <c r="D40" s="28" t="n">
        <v>33</v>
      </c>
      <c r="E40" s="29" t="n"/>
      <c r="F40" s="29" t="n"/>
      <c r="G40" s="29" t="n"/>
      <c r="H40" s="29" t="n"/>
      <c r="I40" s="29" t="n"/>
      <c r="J40" s="29" t="n"/>
      <c r="K40" s="29" t="n"/>
      <c r="L40" s="1" t="n"/>
      <c r="M40" s="1" t="n"/>
      <c r="N40" s="1" t="n"/>
      <c r="O40" s="1" t="n"/>
    </row>
    <row r="41" ht="15.75" customHeight="1">
      <c r="A41" s="10" t="n"/>
      <c r="B41" s="10" t="n"/>
      <c r="C41" s="11" t="n"/>
      <c r="D41" s="32" t="n">
        <v>34</v>
      </c>
      <c r="E41" s="33" t="n"/>
      <c r="F41" s="33" t="n"/>
      <c r="G41" s="33" t="n"/>
      <c r="H41" s="33" t="n"/>
      <c r="I41" s="33" t="n"/>
      <c r="J41" s="33" t="n"/>
      <c r="K41" s="33" t="n"/>
      <c r="L41" s="1" t="n"/>
      <c r="M41" s="1" t="n"/>
      <c r="N41" s="1" t="n"/>
      <c r="O41" s="1" t="n"/>
    </row>
    <row r="42" ht="15.75" customHeight="1">
      <c r="A42" s="10" t="n"/>
      <c r="B42" s="10" t="n"/>
      <c r="C42" s="11" t="n"/>
      <c r="D42" s="28" t="n">
        <v>35</v>
      </c>
      <c r="E42" s="29" t="n"/>
      <c r="F42" s="29" t="n"/>
      <c r="G42" s="29" t="n"/>
      <c r="H42" s="29" t="n"/>
      <c r="I42" s="29" t="n"/>
      <c r="J42" s="29" t="n"/>
      <c r="K42" s="29" t="n"/>
      <c r="L42" s="1" t="n"/>
      <c r="M42" s="1" t="n"/>
      <c r="N42" s="1" t="n"/>
      <c r="O42" s="1" t="n"/>
    </row>
    <row r="43" ht="15.75" customHeight="1">
      <c r="A43" s="10" t="n"/>
      <c r="B43" s="10" t="n"/>
      <c r="C43" s="11" t="n"/>
      <c r="D43" s="32" t="n">
        <v>36</v>
      </c>
      <c r="E43" s="33" t="n"/>
      <c r="F43" s="33" t="n"/>
      <c r="G43" s="33" t="n"/>
      <c r="H43" s="33" t="n"/>
      <c r="I43" s="33" t="n"/>
      <c r="J43" s="33" t="n"/>
      <c r="K43" s="33" t="n"/>
      <c r="L43" s="1" t="n"/>
      <c r="M43" s="1" t="n"/>
      <c r="N43" s="1" t="n"/>
      <c r="O43" s="1" t="n"/>
    </row>
    <row r="44" ht="15.75" customHeight="1">
      <c r="A44" s="10" t="n"/>
      <c r="B44" s="10" t="n"/>
      <c r="C44" s="11" t="n"/>
      <c r="D44" s="28" t="n">
        <v>37</v>
      </c>
      <c r="E44" s="29" t="n"/>
      <c r="F44" s="29" t="n"/>
      <c r="G44" s="29" t="n"/>
      <c r="H44" s="29" t="n"/>
      <c r="I44" s="29" t="n"/>
      <c r="J44" s="29" t="n"/>
      <c r="K44" s="29" t="n"/>
      <c r="L44" s="1" t="n"/>
      <c r="M44" s="1" t="n"/>
      <c r="N44" s="1" t="n"/>
      <c r="O44" s="1" t="n"/>
    </row>
    <row r="45" ht="15.75" customHeight="1">
      <c r="A45" s="10" t="n"/>
      <c r="B45" s="10" t="n"/>
      <c r="C45" s="11" t="n"/>
      <c r="D45" s="32" t="n">
        <v>38</v>
      </c>
      <c r="E45" s="33" t="n"/>
      <c r="F45" s="33" t="n"/>
      <c r="G45" s="33" t="n"/>
      <c r="H45" s="33" t="n"/>
      <c r="I45" s="33" t="n"/>
      <c r="J45" s="33" t="n"/>
      <c r="K45" s="33" t="n"/>
      <c r="L45" s="1" t="n"/>
      <c r="M45" s="1" t="n"/>
      <c r="N45" s="1" t="n"/>
      <c r="O45" s="1" t="n"/>
    </row>
    <row r="46" ht="15.75" customHeight="1">
      <c r="A46" s="10" t="n"/>
      <c r="B46" s="10" t="n"/>
      <c r="C46" s="11" t="n"/>
      <c r="D46" s="28" t="n">
        <v>39</v>
      </c>
      <c r="E46" s="29" t="n"/>
      <c r="F46" s="29" t="n"/>
      <c r="G46" s="29" t="n"/>
      <c r="H46" s="29" t="n"/>
      <c r="I46" s="29" t="n"/>
      <c r="J46" s="29" t="n"/>
      <c r="K46" s="29" t="n"/>
      <c r="L46" s="1" t="n"/>
      <c r="M46" s="1" t="n"/>
      <c r="N46" s="1" t="n"/>
      <c r="O46" s="1" t="n"/>
    </row>
    <row r="47" ht="15.75" customHeight="1">
      <c r="A47" s="10" t="n"/>
      <c r="B47" s="10" t="n"/>
      <c r="C47" s="11" t="n"/>
      <c r="D47" s="32" t="n">
        <v>40</v>
      </c>
      <c r="E47" s="33" t="n"/>
      <c r="F47" s="33" t="n"/>
      <c r="G47" s="33" t="n"/>
      <c r="H47" s="33" t="n"/>
      <c r="I47" s="33" t="n"/>
      <c r="J47" s="33" t="n"/>
      <c r="K47" s="33" t="n"/>
      <c r="L47" s="1" t="n"/>
      <c r="M47" s="1" t="n"/>
      <c r="N47" s="1" t="n"/>
      <c r="O47" s="1" t="n"/>
    </row>
    <row r="48" ht="15.75" customHeight="1">
      <c r="A48" s="10" t="n"/>
      <c r="B48" s="10" t="n"/>
      <c r="C48" s="11" t="n"/>
      <c r="D48" s="28" t="n">
        <v>41</v>
      </c>
      <c r="E48" s="29" t="n"/>
      <c r="F48" s="29" t="n"/>
      <c r="G48" s="29" t="n"/>
      <c r="H48" s="29" t="n"/>
      <c r="I48" s="29" t="n"/>
      <c r="J48" s="29" t="n"/>
      <c r="K48" s="29" t="n"/>
      <c r="L48" s="1" t="n"/>
      <c r="M48" s="1" t="n"/>
      <c r="N48" s="1" t="n"/>
      <c r="O48" s="1" t="n"/>
    </row>
    <row r="49" ht="15.75" customHeight="1">
      <c r="A49" s="10" t="n"/>
      <c r="B49" s="10" t="n"/>
      <c r="C49" s="11" t="n"/>
      <c r="D49" s="32" t="n">
        <v>42</v>
      </c>
      <c r="E49" s="33" t="n"/>
      <c r="F49" s="33" t="n"/>
      <c r="G49" s="33" t="n"/>
      <c r="H49" s="33" t="n"/>
      <c r="I49" s="33" t="n"/>
      <c r="J49" s="33" t="n"/>
      <c r="K49" s="33" t="n"/>
      <c r="L49" s="1" t="n"/>
      <c r="M49" s="1" t="n"/>
      <c r="N49" s="1" t="n"/>
      <c r="O49" s="1" t="n"/>
    </row>
    <row r="50" ht="15.75" customHeight="1">
      <c r="A50" s="10" t="n"/>
      <c r="B50" s="10" t="n"/>
      <c r="C50" s="11" t="n"/>
      <c r="D50" s="28" t="n">
        <v>43</v>
      </c>
      <c r="E50" s="29" t="n"/>
      <c r="F50" s="29" t="n"/>
      <c r="G50" s="29" t="n"/>
      <c r="H50" s="29" t="n"/>
      <c r="I50" s="29" t="n"/>
      <c r="J50" s="29" t="n"/>
      <c r="K50" s="29" t="n"/>
      <c r="L50" s="1" t="n"/>
      <c r="M50" s="1" t="n"/>
      <c r="N50" s="1" t="n"/>
      <c r="O50" s="1" t="n"/>
    </row>
    <row r="51" ht="15.75" customHeight="1">
      <c r="A51" s="10" t="n"/>
      <c r="B51" s="10" t="n"/>
      <c r="C51" s="11" t="n"/>
      <c r="D51" s="32" t="n">
        <v>44</v>
      </c>
      <c r="E51" s="33" t="n"/>
      <c r="F51" s="33" t="n"/>
      <c r="G51" s="33" t="n"/>
      <c r="H51" s="33" t="n"/>
      <c r="I51" s="33" t="n"/>
      <c r="J51" s="33" t="n"/>
      <c r="K51" s="33" t="n"/>
      <c r="L51" s="1" t="n"/>
      <c r="M51" s="1" t="n"/>
      <c r="N51" s="1" t="n"/>
      <c r="O51" s="1" t="n"/>
    </row>
    <row r="52" ht="15.75" customHeight="1">
      <c r="A52" s="10" t="n"/>
      <c r="B52" s="10" t="n"/>
      <c r="C52" s="11" t="n"/>
      <c r="D52" s="28" t="n">
        <v>45</v>
      </c>
      <c r="E52" s="29" t="n"/>
      <c r="F52" s="29" t="n"/>
      <c r="G52" s="29" t="n"/>
      <c r="H52" s="29" t="n"/>
      <c r="I52" s="29" t="n"/>
      <c r="J52" s="29" t="n"/>
      <c r="K52" s="29" t="n"/>
      <c r="L52" s="1" t="n"/>
      <c r="M52" s="1" t="n"/>
      <c r="N52" s="1" t="n"/>
      <c r="O52" s="1" t="n"/>
    </row>
    <row r="53" ht="15.75" customHeight="1">
      <c r="A53" s="10" t="n"/>
      <c r="B53" s="10" t="n"/>
      <c r="C53" s="11" t="n"/>
      <c r="D53" s="32" t="n">
        <v>46</v>
      </c>
      <c r="E53" s="33" t="n"/>
      <c r="F53" s="33" t="n"/>
      <c r="G53" s="33" t="n"/>
      <c r="H53" s="33" t="n"/>
      <c r="I53" s="33" t="n"/>
      <c r="J53" s="33" t="n"/>
      <c r="K53" s="33" t="n"/>
      <c r="L53" s="1" t="n"/>
      <c r="M53" s="1" t="n"/>
      <c r="N53" s="1" t="n"/>
      <c r="O53" s="1" t="n"/>
    </row>
    <row r="54" ht="15.75" customHeight="1">
      <c r="A54" s="10" t="n"/>
      <c r="B54" s="10" t="n"/>
      <c r="C54" s="11" t="n"/>
      <c r="D54" s="28" t="n">
        <v>47</v>
      </c>
      <c r="E54" s="29" t="n"/>
      <c r="F54" s="29" t="n"/>
      <c r="G54" s="29" t="n"/>
      <c r="H54" s="29" t="n"/>
      <c r="I54" s="29" t="n"/>
      <c r="J54" s="29" t="n"/>
      <c r="K54" s="29" t="n"/>
      <c r="L54" s="1" t="n"/>
      <c r="M54" s="1" t="n"/>
      <c r="N54" s="1" t="n"/>
      <c r="O54" s="1" t="n"/>
    </row>
    <row r="55" ht="15.75" customHeight="1">
      <c r="A55" s="1" t="n"/>
      <c r="B55" s="1" t="n"/>
      <c r="C55" s="1" t="n"/>
      <c r="D55" s="32" t="n">
        <v>48</v>
      </c>
      <c r="E55" s="33" t="n"/>
      <c r="F55" s="33" t="n"/>
      <c r="G55" s="33" t="n"/>
      <c r="H55" s="33" t="n"/>
      <c r="I55" s="33" t="n"/>
      <c r="J55" s="33" t="n"/>
      <c r="K55" s="33" t="n"/>
      <c r="L55" s="1" t="n"/>
      <c r="M55" s="1" t="n"/>
      <c r="N55" s="1" t="n"/>
      <c r="O55" s="1" t="n"/>
    </row>
    <row r="56" ht="15.75" customHeight="1">
      <c r="A56" s="1" t="n"/>
      <c r="B56" s="1" t="n"/>
      <c r="C56" s="1" t="n"/>
      <c r="D56" s="28" t="n">
        <v>49</v>
      </c>
      <c r="E56" s="29" t="n"/>
      <c r="F56" s="29" t="n"/>
      <c r="G56" s="29" t="n"/>
      <c r="H56" s="29" t="n"/>
      <c r="I56" s="29" t="n"/>
      <c r="J56" s="29" t="n"/>
      <c r="K56" s="29" t="n"/>
      <c r="L56" s="1" t="n"/>
      <c r="M56" s="1" t="n"/>
      <c r="N56" s="1" t="n"/>
      <c r="O56" s="1" t="n"/>
    </row>
    <row r="57" ht="15.75" customHeight="1">
      <c r="A57" s="1" t="n"/>
      <c r="B57" s="1" t="n"/>
      <c r="C57" s="1" t="n"/>
      <c r="D57" s="32" t="n">
        <v>50</v>
      </c>
      <c r="E57" s="33" t="n"/>
      <c r="F57" s="33" t="n"/>
      <c r="G57" s="33" t="n"/>
      <c r="H57" s="33" t="n"/>
      <c r="I57" s="33" t="n"/>
      <c r="J57" s="33" t="n"/>
      <c r="K57" s="33" t="n"/>
      <c r="L57" s="1" t="n"/>
      <c r="M57" s="1" t="n"/>
      <c r="N57" s="1" t="n"/>
      <c r="O57" s="1" t="n"/>
    </row>
    <row r="58" ht="15.75" customHeight="1">
      <c r="A58" s="1" t="n"/>
      <c r="B58" s="1" t="n"/>
      <c r="C58" s="1" t="n"/>
      <c r="D58" s="28" t="n">
        <v>51</v>
      </c>
      <c r="E58" s="29" t="n"/>
      <c r="F58" s="29" t="n"/>
      <c r="G58" s="29" t="n"/>
      <c r="H58" s="29" t="n"/>
      <c r="I58" s="29" t="n"/>
      <c r="J58" s="29" t="n"/>
      <c r="K58" s="29" t="n"/>
      <c r="L58" s="1" t="n"/>
      <c r="M58" s="1" t="n"/>
      <c r="N58" s="1" t="n"/>
      <c r="O58" s="1" t="n"/>
    </row>
    <row r="59" ht="15.75" customHeight="1">
      <c r="A59" s="1" t="n"/>
      <c r="B59" s="1" t="n"/>
      <c r="C59" s="1" t="n"/>
      <c r="D59" s="32" t="n">
        <v>52</v>
      </c>
      <c r="E59" s="33" t="n"/>
      <c r="F59" s="33" t="n"/>
      <c r="G59" s="33" t="n"/>
      <c r="H59" s="33" t="n"/>
      <c r="I59" s="33" t="n"/>
      <c r="J59" s="33" t="n"/>
      <c r="K59" s="33" t="n"/>
      <c r="L59" s="1" t="n"/>
      <c r="M59" s="1" t="n"/>
      <c r="N59" s="1" t="n"/>
      <c r="O59" s="1" t="n"/>
    </row>
    <row r="60" ht="15.75" customHeight="1">
      <c r="A60" s="1" t="n"/>
      <c r="B60" s="1" t="n"/>
      <c r="C60" s="1" t="n"/>
      <c r="D60" s="28" t="n">
        <v>53</v>
      </c>
      <c r="E60" s="29" t="n"/>
      <c r="F60" s="29" t="n"/>
      <c r="G60" s="29" t="n"/>
      <c r="H60" s="29" t="n"/>
      <c r="I60" s="29" t="n"/>
      <c r="J60" s="29" t="n"/>
      <c r="K60" s="29" t="n"/>
      <c r="L60" s="1" t="n"/>
      <c r="M60" s="1" t="n"/>
      <c r="N60" s="1" t="n"/>
      <c r="O60" s="1" t="n"/>
    </row>
    <row r="61" ht="15.75" customHeight="1">
      <c r="A61" s="1" t="n"/>
      <c r="B61" s="1" t="n"/>
      <c r="C61" s="1" t="n"/>
      <c r="D61" s="32" t="n">
        <v>54</v>
      </c>
      <c r="E61" s="33" t="n"/>
      <c r="F61" s="33" t="n"/>
      <c r="G61" s="33" t="n"/>
      <c r="H61" s="33" t="n"/>
      <c r="I61" s="33" t="n"/>
      <c r="J61" s="33" t="n"/>
      <c r="K61" s="33" t="n"/>
      <c r="L61" s="1" t="n"/>
      <c r="M61" s="1" t="n"/>
      <c r="N61" s="1" t="n"/>
      <c r="O61" s="1" t="n"/>
    </row>
    <row r="62" ht="15.75" customHeight="1">
      <c r="A62" s="1" t="n"/>
      <c r="B62" s="1" t="n"/>
      <c r="C62" s="1" t="n"/>
      <c r="D62" s="28" t="n">
        <v>55</v>
      </c>
      <c r="E62" s="29" t="n"/>
      <c r="F62" s="29" t="n"/>
      <c r="G62" s="29" t="n"/>
      <c r="H62" s="29" t="n"/>
      <c r="I62" s="29" t="n"/>
      <c r="J62" s="29" t="n"/>
      <c r="K62" s="29" t="n"/>
      <c r="L62" s="1" t="n"/>
      <c r="M62" s="1" t="n"/>
      <c r="N62" s="1" t="n"/>
      <c r="O62" s="1" t="n"/>
    </row>
    <row r="63" ht="15.75" customHeight="1">
      <c r="A63" s="1" t="n"/>
      <c r="B63" s="1" t="n"/>
      <c r="C63" s="1" t="n"/>
      <c r="D63" s="32" t="n">
        <v>56</v>
      </c>
      <c r="E63" s="33" t="n"/>
      <c r="F63" s="33" t="n"/>
      <c r="G63" s="33" t="n"/>
      <c r="H63" s="33" t="n"/>
      <c r="I63" s="33" t="n"/>
      <c r="J63" s="33" t="n"/>
      <c r="K63" s="33" t="n"/>
      <c r="L63" s="1" t="n"/>
      <c r="M63" s="1" t="n"/>
      <c r="N63" s="1" t="n"/>
      <c r="O63" s="1" t="n"/>
    </row>
    <row r="64" ht="15.75" customHeight="1">
      <c r="A64" s="1" t="n"/>
      <c r="B64" s="1" t="n"/>
      <c r="C64" s="1" t="n"/>
      <c r="D64" s="28" t="n">
        <v>57</v>
      </c>
      <c r="E64" s="29" t="n"/>
      <c r="F64" s="29" t="n"/>
      <c r="G64" s="29" t="n"/>
      <c r="H64" s="29" t="n"/>
      <c r="I64" s="29" t="n"/>
      <c r="J64" s="29" t="n"/>
      <c r="K64" s="29" t="n"/>
      <c r="L64" s="1" t="n"/>
      <c r="M64" s="1" t="n"/>
      <c r="N64" s="1" t="n"/>
      <c r="O64" s="1" t="n"/>
    </row>
    <row r="65" ht="15.75" customHeight="1">
      <c r="A65" s="1" t="n"/>
      <c r="B65" s="1" t="n"/>
      <c r="C65" s="1" t="n"/>
      <c r="D65" s="32" t="n">
        <v>58</v>
      </c>
      <c r="E65" s="33" t="n"/>
      <c r="F65" s="33" t="n"/>
      <c r="G65" s="33" t="n"/>
      <c r="H65" s="33" t="n"/>
      <c r="I65" s="33" t="n"/>
      <c r="J65" s="33" t="n"/>
      <c r="K65" s="33" t="n"/>
      <c r="L65" s="1" t="n"/>
      <c r="M65" s="1" t="n"/>
      <c r="N65" s="1" t="n"/>
      <c r="O65" s="1" t="n"/>
    </row>
    <row r="66" ht="15.75" customHeight="1">
      <c r="A66" s="1" t="n"/>
      <c r="B66" s="1" t="n"/>
      <c r="C66" s="1" t="n"/>
      <c r="D66" s="28" t="n">
        <v>59</v>
      </c>
      <c r="E66" s="29" t="n"/>
      <c r="F66" s="29" t="n"/>
      <c r="G66" s="29" t="n"/>
      <c r="H66" s="29" t="n"/>
      <c r="I66" s="29" t="n"/>
      <c r="J66" s="29" t="n"/>
      <c r="K66" s="29" t="n"/>
      <c r="L66" s="1" t="n"/>
      <c r="M66" s="1" t="n"/>
      <c r="N66" s="1" t="n"/>
      <c r="O66" s="1" t="n"/>
    </row>
    <row r="67" ht="15.75" customHeight="1">
      <c r="A67" s="1" t="n"/>
      <c r="B67" s="1" t="n"/>
      <c r="C67" s="1" t="n"/>
      <c r="D67" s="32" t="n">
        <v>60</v>
      </c>
      <c r="E67" s="33" t="n"/>
      <c r="F67" s="33" t="n"/>
      <c r="G67" s="33" t="n"/>
      <c r="H67" s="33" t="n"/>
      <c r="I67" s="33" t="n"/>
      <c r="J67" s="33" t="n"/>
      <c r="K67" s="33" t="n"/>
      <c r="L67" s="1" t="n"/>
      <c r="M67" s="1" t="n"/>
      <c r="N67" s="1" t="n"/>
      <c r="O67" s="1" t="n"/>
    </row>
    <row r="68" ht="15.75" customHeight="1">
      <c r="A68" s="1" t="n"/>
      <c r="B68" s="1" t="n"/>
      <c r="C68" s="1" t="n"/>
      <c r="D68" s="28" t="n">
        <v>61</v>
      </c>
      <c r="E68" s="29" t="n"/>
      <c r="F68" s="29" t="n"/>
      <c r="G68" s="29" t="n"/>
      <c r="H68" s="29" t="n"/>
      <c r="I68" s="29" t="n"/>
      <c r="J68" s="29" t="n"/>
      <c r="K68" s="29" t="n"/>
      <c r="L68" s="1" t="n"/>
      <c r="M68" s="1" t="n"/>
      <c r="N68" s="1" t="n"/>
      <c r="O68" s="1" t="n"/>
    </row>
    <row r="69" ht="15.75" customHeight="1">
      <c r="A69" s="1" t="n"/>
      <c r="B69" s="1" t="n"/>
      <c r="C69" s="1" t="n"/>
      <c r="D69" s="32" t="n">
        <v>62</v>
      </c>
      <c r="E69" s="33" t="n"/>
      <c r="F69" s="33" t="n"/>
      <c r="G69" s="33" t="n"/>
      <c r="H69" s="33" t="n"/>
      <c r="I69" s="33" t="n"/>
      <c r="J69" s="33" t="n"/>
      <c r="K69" s="33" t="n"/>
      <c r="L69" s="1" t="n"/>
      <c r="M69" s="1" t="n"/>
      <c r="N69" s="1" t="n"/>
      <c r="O69" s="1" t="n"/>
    </row>
    <row r="70" ht="15.75" customHeight="1">
      <c r="A70" s="1" t="n"/>
      <c r="B70" s="1" t="n"/>
      <c r="C70" s="1" t="n"/>
      <c r="D70" s="28" t="n">
        <v>63</v>
      </c>
      <c r="E70" s="29" t="n"/>
      <c r="F70" s="29" t="n"/>
      <c r="G70" s="29" t="n"/>
      <c r="H70" s="29" t="n"/>
      <c r="I70" s="29" t="n"/>
      <c r="J70" s="29" t="n"/>
      <c r="K70" s="29" t="n"/>
      <c r="L70" s="1" t="n"/>
      <c r="M70" s="1" t="n"/>
      <c r="N70" s="1" t="n"/>
      <c r="O70" s="1" t="n"/>
    </row>
    <row r="71" ht="15.75" customHeight="1">
      <c r="A71" s="1" t="n"/>
      <c r="B71" s="1" t="n"/>
      <c r="C71" s="1" t="n"/>
      <c r="D71" s="32" t="n">
        <v>64</v>
      </c>
      <c r="E71" s="33" t="n"/>
      <c r="F71" s="33" t="n"/>
      <c r="G71" s="33" t="n"/>
      <c r="H71" s="33" t="n"/>
      <c r="I71" s="33" t="n"/>
      <c r="J71" s="33" t="n"/>
      <c r="K71" s="33" t="n"/>
      <c r="L71" s="1" t="n"/>
      <c r="M71" s="1" t="n"/>
      <c r="N71" s="1" t="n"/>
      <c r="O71" s="1" t="n"/>
    </row>
    <row r="72" ht="15.75" customHeight="1">
      <c r="A72" s="1" t="n"/>
      <c r="B72" s="1" t="n"/>
      <c r="C72" s="1" t="n"/>
      <c r="D72" s="28" t="n">
        <v>65</v>
      </c>
      <c r="E72" s="29" t="n"/>
      <c r="F72" s="29" t="n"/>
      <c r="G72" s="29" t="n"/>
      <c r="H72" s="29" t="n"/>
      <c r="I72" s="29" t="n"/>
      <c r="J72" s="29" t="n"/>
      <c r="K72" s="29" t="n"/>
      <c r="L72" s="1" t="n"/>
      <c r="M72" s="1" t="n"/>
      <c r="N72" s="1" t="n"/>
      <c r="O72" s="1" t="n"/>
    </row>
    <row r="73" ht="15.75" customHeight="1">
      <c r="A73" s="1" t="n"/>
      <c r="B73" s="1" t="n"/>
      <c r="C73" s="1" t="n"/>
      <c r="D73" s="32" t="n">
        <v>66</v>
      </c>
      <c r="E73" s="33" t="n"/>
      <c r="F73" s="33" t="n"/>
      <c r="G73" s="33" t="n"/>
      <c r="H73" s="33" t="n"/>
      <c r="I73" s="33" t="n"/>
      <c r="J73" s="33" t="n"/>
      <c r="K73" s="33" t="n"/>
      <c r="L73" s="1" t="n"/>
      <c r="M73" s="1" t="n"/>
      <c r="N73" s="1" t="n"/>
      <c r="O73" s="1" t="n"/>
    </row>
    <row r="74" ht="15.75" customHeight="1">
      <c r="A74" s="1" t="n"/>
      <c r="B74" s="1" t="n"/>
      <c r="C74" s="1" t="n"/>
      <c r="D74" s="28" t="n">
        <v>67</v>
      </c>
      <c r="E74" s="29" t="n"/>
      <c r="F74" s="29" t="n"/>
      <c r="G74" s="29" t="n"/>
      <c r="H74" s="29" t="n"/>
      <c r="I74" s="29" t="n"/>
      <c r="J74" s="29" t="n"/>
      <c r="K74" s="29" t="n"/>
      <c r="L74" s="1" t="n"/>
      <c r="M74" s="1" t="n"/>
      <c r="N74" s="1" t="n"/>
      <c r="O74" s="1" t="n"/>
    </row>
    <row r="75" ht="15.75" customHeight="1">
      <c r="A75" s="1" t="n"/>
      <c r="B75" s="1" t="n"/>
      <c r="C75" s="1" t="n"/>
      <c r="D75" s="32" t="n">
        <v>68</v>
      </c>
      <c r="E75" s="33" t="n"/>
      <c r="F75" s="33" t="n"/>
      <c r="G75" s="33" t="n"/>
      <c r="H75" s="33" t="n"/>
      <c r="I75" s="33" t="n"/>
      <c r="J75" s="33" t="n"/>
      <c r="K75" s="33" t="n"/>
      <c r="L75" s="1" t="n"/>
      <c r="M75" s="1" t="n"/>
      <c r="N75" s="1" t="n"/>
      <c r="O75" s="1" t="n"/>
    </row>
    <row r="76" ht="15.75" customHeight="1">
      <c r="A76" s="1" t="n"/>
      <c r="B76" s="1" t="n"/>
      <c r="C76" s="1" t="n"/>
      <c r="D76" s="28" t="n">
        <v>69</v>
      </c>
      <c r="E76" s="29" t="n"/>
      <c r="F76" s="29" t="n"/>
      <c r="G76" s="29" t="n"/>
      <c r="H76" s="29" t="n"/>
      <c r="I76" s="29" t="n"/>
      <c r="J76" s="29" t="n"/>
      <c r="K76" s="29" t="n"/>
      <c r="L76" s="1" t="n"/>
      <c r="M76" s="1" t="n"/>
      <c r="N76" s="1" t="n"/>
      <c r="O76" s="1" t="n"/>
    </row>
    <row r="77" ht="15.75" customHeight="1">
      <c r="A77" s="1" t="n"/>
      <c r="B77" s="1" t="n"/>
      <c r="C77" s="1" t="n"/>
      <c r="D77" s="32" t="n">
        <v>70</v>
      </c>
      <c r="E77" s="33" t="n"/>
      <c r="F77" s="33" t="n"/>
      <c r="G77" s="33" t="n"/>
      <c r="H77" s="33" t="n"/>
      <c r="I77" s="33" t="n"/>
      <c r="J77" s="33" t="n"/>
      <c r="K77" s="33" t="n"/>
      <c r="L77" s="1" t="n"/>
      <c r="M77" s="1" t="n"/>
      <c r="N77" s="1" t="n"/>
      <c r="O77" s="1" t="n"/>
    </row>
    <row r="78" ht="15.75" customHeight="1">
      <c r="A78" s="1" t="n"/>
      <c r="B78" s="1" t="n"/>
      <c r="C78" s="1" t="n"/>
      <c r="D78" s="28" t="n">
        <v>71</v>
      </c>
      <c r="E78" s="29" t="n"/>
      <c r="F78" s="29" t="n"/>
      <c r="G78" s="29" t="n"/>
      <c r="H78" s="29" t="n"/>
      <c r="I78" s="29" t="n"/>
      <c r="J78" s="29" t="n"/>
      <c r="K78" s="29" t="n"/>
      <c r="L78" s="1" t="n"/>
      <c r="M78" s="1" t="n"/>
      <c r="N78" s="1" t="n"/>
      <c r="O78" s="1" t="n"/>
    </row>
    <row r="79" ht="15.75" customHeight="1">
      <c r="A79" s="1" t="n"/>
      <c r="B79" s="1" t="n"/>
      <c r="C79" s="1" t="n"/>
      <c r="D79" s="32" t="n">
        <v>72</v>
      </c>
      <c r="E79" s="33" t="n"/>
      <c r="F79" s="33" t="n"/>
      <c r="G79" s="33" t="n"/>
      <c r="H79" s="33" t="n"/>
      <c r="I79" s="33" t="n"/>
      <c r="J79" s="33" t="n"/>
      <c r="K79" s="33" t="n"/>
      <c r="L79" s="1" t="n"/>
      <c r="M79" s="1" t="n"/>
      <c r="N79" s="1" t="n"/>
      <c r="O79" s="1" t="n"/>
    </row>
    <row r="80" ht="15.75" customHeight="1">
      <c r="A80" s="1" t="n"/>
      <c r="B80" s="1" t="n"/>
      <c r="C80" s="1" t="n"/>
      <c r="D80" s="28" t="n">
        <v>73</v>
      </c>
      <c r="E80" s="29" t="n"/>
      <c r="F80" s="29" t="n"/>
      <c r="G80" s="29" t="n"/>
      <c r="H80" s="29" t="n"/>
      <c r="I80" s="29" t="n"/>
      <c r="J80" s="29" t="n"/>
      <c r="K80" s="29" t="n"/>
      <c r="L80" s="1" t="n"/>
      <c r="M80" s="1" t="n"/>
      <c r="N80" s="1" t="n"/>
      <c r="O80" s="1" t="n"/>
    </row>
    <row r="81" ht="15.75" customHeight="1">
      <c r="A81" s="1" t="n"/>
      <c r="B81" s="1" t="n"/>
      <c r="C81" s="1" t="n"/>
      <c r="D81" s="32" t="n">
        <v>74</v>
      </c>
      <c r="E81" s="33" t="n"/>
      <c r="F81" s="33" t="n"/>
      <c r="G81" s="33" t="n"/>
      <c r="H81" s="33" t="n"/>
      <c r="I81" s="33" t="n"/>
      <c r="J81" s="33" t="n"/>
      <c r="K81" s="33" t="n"/>
      <c r="L81" s="1" t="n"/>
      <c r="M81" s="1" t="n"/>
      <c r="N81" s="1" t="n"/>
      <c r="O81" s="1" t="n"/>
    </row>
    <row r="82" ht="15.75" customHeight="1">
      <c r="A82" s="1" t="n"/>
      <c r="B82" s="1" t="n"/>
      <c r="C82" s="1" t="n"/>
      <c r="D82" s="28" t="n">
        <v>75</v>
      </c>
      <c r="E82" s="29" t="n"/>
      <c r="F82" s="29" t="n"/>
      <c r="G82" s="29" t="n"/>
      <c r="H82" s="29" t="n"/>
      <c r="I82" s="29" t="n"/>
      <c r="J82" s="29" t="n"/>
      <c r="K82" s="29" t="n"/>
      <c r="L82" s="1" t="n"/>
      <c r="M82" s="1" t="n"/>
      <c r="N82" s="1" t="n"/>
      <c r="O82" s="1" t="n"/>
    </row>
    <row r="83" ht="15.75" customHeight="1">
      <c r="A83" s="1" t="n"/>
      <c r="B83" s="1" t="n"/>
      <c r="C83" s="1" t="n"/>
      <c r="D83" s="32" t="n">
        <v>76</v>
      </c>
      <c r="E83" s="33" t="n"/>
      <c r="F83" s="33" t="n"/>
      <c r="G83" s="33" t="n"/>
      <c r="H83" s="33" t="n"/>
      <c r="I83" s="33" t="n"/>
      <c r="J83" s="33" t="n"/>
      <c r="K83" s="33" t="n"/>
      <c r="L83" s="1" t="n"/>
      <c r="M83" s="1" t="n"/>
      <c r="N83" s="1" t="n"/>
      <c r="O83" s="1" t="n"/>
    </row>
    <row r="84" ht="15.75" customHeight="1">
      <c r="A84" s="1" t="n"/>
      <c r="B84" s="1" t="n"/>
      <c r="C84" s="1" t="n"/>
      <c r="D84" s="28" t="n">
        <v>77</v>
      </c>
      <c r="E84" s="29" t="n"/>
      <c r="F84" s="29" t="n"/>
      <c r="G84" s="29" t="n"/>
      <c r="H84" s="29" t="n"/>
      <c r="I84" s="29" t="n"/>
      <c r="J84" s="29" t="n"/>
      <c r="K84" s="29" t="n"/>
      <c r="L84" s="1" t="n"/>
      <c r="M84" s="1" t="n"/>
      <c r="N84" s="1" t="n"/>
      <c r="O84" s="1" t="n"/>
    </row>
    <row r="85" ht="15.75" customHeight="1">
      <c r="A85" s="1" t="n"/>
      <c r="B85" s="1" t="n"/>
      <c r="C85" s="1" t="n"/>
      <c r="D85" s="32" t="n">
        <v>78</v>
      </c>
      <c r="E85" s="33" t="n"/>
      <c r="F85" s="33" t="n"/>
      <c r="G85" s="33" t="n"/>
      <c r="H85" s="33" t="n"/>
      <c r="I85" s="33" t="n"/>
      <c r="J85" s="33" t="n"/>
      <c r="K85" s="33" t="n"/>
      <c r="L85" s="1" t="n"/>
      <c r="M85" s="1" t="n"/>
      <c r="N85" s="1" t="n"/>
      <c r="O85" s="1" t="n"/>
    </row>
    <row r="86" ht="15.75" customHeight="1">
      <c r="A86" s="1" t="n"/>
      <c r="B86" s="1" t="n"/>
      <c r="C86" s="1" t="n"/>
      <c r="D86" s="28" t="n">
        <v>79</v>
      </c>
      <c r="E86" s="29" t="n"/>
      <c r="F86" s="29" t="n"/>
      <c r="G86" s="29" t="n"/>
      <c r="H86" s="29" t="n"/>
      <c r="I86" s="29" t="n"/>
      <c r="J86" s="29" t="n"/>
      <c r="K86" s="29" t="n"/>
      <c r="L86" s="1" t="n"/>
      <c r="M86" s="1" t="n"/>
      <c r="N86" s="1" t="n"/>
      <c r="O86" s="1" t="n"/>
    </row>
    <row r="87" ht="15.75" customHeight="1">
      <c r="A87" s="1" t="n"/>
      <c r="B87" s="1" t="n"/>
      <c r="C87" s="1" t="n"/>
      <c r="D87" s="32" t="n">
        <v>80</v>
      </c>
      <c r="E87" s="33" t="n"/>
      <c r="F87" s="33" t="n"/>
      <c r="G87" s="33" t="n"/>
      <c r="H87" s="33" t="n"/>
      <c r="I87" s="33" t="n"/>
      <c r="J87" s="33" t="n"/>
      <c r="K87" s="33" t="n"/>
      <c r="L87" s="1" t="n"/>
      <c r="M87" s="1" t="n"/>
      <c r="N87" s="1" t="n"/>
      <c r="O87" s="1" t="n"/>
    </row>
    <row r="88" ht="15.75" customHeight="1">
      <c r="A88" s="1" t="n"/>
      <c r="B88" s="1" t="n"/>
      <c r="C88" s="1" t="n"/>
      <c r="D88" s="28" t="n">
        <v>81</v>
      </c>
      <c r="E88" s="29" t="n"/>
      <c r="F88" s="29" t="n"/>
      <c r="G88" s="29" t="n"/>
      <c r="H88" s="29" t="n"/>
      <c r="I88" s="29" t="n"/>
      <c r="J88" s="29" t="n"/>
      <c r="K88" s="29" t="n"/>
      <c r="L88" s="1" t="n"/>
      <c r="M88" s="1" t="n"/>
      <c r="N88" s="1" t="n"/>
      <c r="O88" s="1" t="n"/>
    </row>
    <row r="89" ht="15.75" customHeight="1">
      <c r="A89" s="1" t="n"/>
      <c r="B89" s="1" t="n"/>
      <c r="C89" s="1" t="n"/>
      <c r="D89" s="32" t="n">
        <v>82</v>
      </c>
      <c r="E89" s="33" t="n"/>
      <c r="F89" s="33" t="n"/>
      <c r="G89" s="33" t="n"/>
      <c r="H89" s="33" t="n"/>
      <c r="I89" s="33" t="n"/>
      <c r="J89" s="33" t="n"/>
      <c r="K89" s="33" t="n"/>
      <c r="L89" s="1" t="n"/>
      <c r="M89" s="1" t="n"/>
      <c r="N89" s="1" t="n"/>
      <c r="O89" s="1" t="n"/>
    </row>
    <row r="90" ht="15.75" customHeight="1">
      <c r="A90" s="1" t="n"/>
      <c r="B90" s="1" t="n"/>
      <c r="C90" s="1" t="n"/>
      <c r="D90" s="28" t="n">
        <v>83</v>
      </c>
      <c r="E90" s="29" t="n"/>
      <c r="F90" s="29" t="n"/>
      <c r="G90" s="29" t="n"/>
      <c r="H90" s="29" t="n"/>
      <c r="I90" s="29" t="n"/>
      <c r="J90" s="29" t="n"/>
      <c r="K90" s="29" t="n"/>
      <c r="L90" s="1" t="n"/>
      <c r="M90" s="1" t="n"/>
      <c r="N90" s="1" t="n"/>
      <c r="O90" s="1" t="n"/>
    </row>
    <row r="91" ht="15.75" customHeight="1">
      <c r="A91" s="1" t="n"/>
      <c r="B91" s="1" t="n"/>
      <c r="C91" s="1" t="n"/>
      <c r="D91" s="32" t="n">
        <v>84</v>
      </c>
      <c r="E91" s="33" t="n"/>
      <c r="F91" s="33" t="n"/>
      <c r="G91" s="33" t="n"/>
      <c r="H91" s="33" t="n"/>
      <c r="I91" s="33" t="n"/>
      <c r="J91" s="33" t="n"/>
      <c r="K91" s="33" t="n"/>
      <c r="L91" s="1" t="n"/>
      <c r="M91" s="1" t="n"/>
      <c r="N91" s="1" t="n"/>
      <c r="O91" s="1" t="n"/>
    </row>
    <row r="92" ht="15.75" customHeight="1">
      <c r="A92" s="1" t="n"/>
      <c r="B92" s="1" t="n"/>
      <c r="C92" s="1" t="n"/>
      <c r="D92" s="28" t="n">
        <v>85</v>
      </c>
      <c r="E92" s="29" t="n"/>
      <c r="F92" s="29" t="n"/>
      <c r="G92" s="29" t="n"/>
      <c r="H92" s="29" t="n"/>
      <c r="I92" s="29" t="n"/>
      <c r="J92" s="29" t="n"/>
      <c r="K92" s="29" t="n"/>
      <c r="L92" s="1" t="n"/>
      <c r="M92" s="1" t="n"/>
      <c r="N92" s="1" t="n"/>
      <c r="O92" s="1" t="n"/>
    </row>
    <row r="93" ht="15.75" customHeight="1">
      <c r="A93" s="1" t="n"/>
      <c r="B93" s="1" t="n"/>
      <c r="C93" s="1" t="n"/>
      <c r="D93" s="32" t="n">
        <v>86</v>
      </c>
      <c r="E93" s="33" t="n"/>
      <c r="F93" s="33" t="n"/>
      <c r="G93" s="33" t="n"/>
      <c r="H93" s="33" t="n"/>
      <c r="I93" s="33" t="n"/>
      <c r="J93" s="33" t="n"/>
      <c r="K93" s="33" t="n"/>
      <c r="L93" s="1" t="n"/>
      <c r="M93" s="1" t="n"/>
      <c r="N93" s="1" t="n"/>
      <c r="O93" s="1" t="n"/>
    </row>
    <row r="94" ht="15.75" customHeight="1">
      <c r="A94" s="1" t="n"/>
      <c r="B94" s="1" t="n"/>
      <c r="C94" s="1" t="n"/>
      <c r="D94" s="28" t="n">
        <v>87</v>
      </c>
      <c r="E94" s="29" t="n"/>
      <c r="F94" s="29" t="n"/>
      <c r="G94" s="29" t="n"/>
      <c r="H94" s="29" t="n"/>
      <c r="I94" s="29" t="n"/>
      <c r="J94" s="29" t="n"/>
      <c r="K94" s="29" t="n"/>
      <c r="L94" s="1" t="n"/>
      <c r="M94" s="1" t="n"/>
      <c r="N94" s="1" t="n"/>
      <c r="O94" s="1" t="n"/>
    </row>
    <row r="95" ht="15.75" customHeight="1">
      <c r="A95" s="1" t="n"/>
      <c r="B95" s="1" t="n"/>
      <c r="C95" s="1" t="n"/>
      <c r="D95" s="32" t="n">
        <v>88</v>
      </c>
      <c r="E95" s="33" t="n"/>
      <c r="F95" s="33" t="n"/>
      <c r="G95" s="33" t="n"/>
      <c r="H95" s="33" t="n"/>
      <c r="I95" s="33" t="n"/>
      <c r="J95" s="33" t="n"/>
      <c r="K95" s="33" t="n"/>
      <c r="L95" s="1" t="n"/>
      <c r="M95" s="1" t="n"/>
      <c r="N95" s="1" t="n"/>
      <c r="O95" s="1" t="n"/>
    </row>
    <row r="96" ht="15.75" customHeight="1">
      <c r="A96" s="1" t="n"/>
      <c r="B96" s="1" t="n"/>
      <c r="C96" s="1" t="n"/>
      <c r="D96" s="28" t="n">
        <v>89</v>
      </c>
      <c r="E96" s="29" t="n"/>
      <c r="F96" s="29" t="n"/>
      <c r="G96" s="29" t="n"/>
      <c r="H96" s="29" t="n"/>
      <c r="I96" s="29" t="n"/>
      <c r="J96" s="29" t="n"/>
      <c r="K96" s="29" t="n"/>
      <c r="L96" s="1" t="n"/>
      <c r="M96" s="1" t="n"/>
      <c r="N96" s="1" t="n"/>
      <c r="O96" s="1" t="n"/>
    </row>
    <row r="97" ht="15.75" customHeight="1">
      <c r="A97" s="1" t="n"/>
      <c r="B97" s="1" t="n"/>
      <c r="C97" s="1" t="n"/>
      <c r="D97" s="32" t="n">
        <v>90</v>
      </c>
      <c r="E97" s="33" t="n"/>
      <c r="F97" s="33" t="n"/>
      <c r="G97" s="33" t="n"/>
      <c r="H97" s="33" t="n"/>
      <c r="I97" s="33" t="n"/>
      <c r="J97" s="33" t="n"/>
      <c r="K97" s="33" t="n"/>
      <c r="L97" s="1" t="n"/>
      <c r="M97" s="1" t="n"/>
      <c r="N97" s="1" t="n"/>
      <c r="O97" s="1" t="n"/>
    </row>
    <row r="98" ht="15.75" customHeight="1">
      <c r="A98" s="1" t="n"/>
      <c r="B98" s="1" t="n"/>
      <c r="C98" s="1" t="n"/>
      <c r="D98" s="28" t="n">
        <v>91</v>
      </c>
      <c r="E98" s="29" t="n"/>
      <c r="F98" s="29" t="n"/>
      <c r="G98" s="29" t="n"/>
      <c r="H98" s="29" t="n"/>
      <c r="I98" s="29" t="n"/>
      <c r="J98" s="29" t="n"/>
      <c r="K98" s="29" t="n"/>
      <c r="L98" s="1" t="n"/>
      <c r="M98" s="1" t="n"/>
      <c r="N98" s="1" t="n"/>
      <c r="O98" s="1" t="n"/>
    </row>
    <row r="99" ht="15.75" customHeight="1">
      <c r="A99" s="1" t="n"/>
      <c r="B99" s="1" t="n"/>
      <c r="C99" s="1" t="n"/>
      <c r="D99" s="32" t="n">
        <v>92</v>
      </c>
      <c r="E99" s="33" t="n"/>
      <c r="F99" s="33" t="n"/>
      <c r="G99" s="33" t="n"/>
      <c r="H99" s="33" t="n"/>
      <c r="I99" s="33" t="n"/>
      <c r="J99" s="33" t="n"/>
      <c r="K99" s="33" t="n"/>
      <c r="L99" s="1" t="n"/>
      <c r="M99" s="1" t="n"/>
      <c r="N99" s="1" t="n"/>
      <c r="O99" s="1" t="n"/>
    </row>
    <row r="100" ht="15.75" customHeight="1">
      <c r="A100" s="1" t="n"/>
      <c r="B100" s="1" t="n"/>
      <c r="C100" s="1" t="n"/>
      <c r="D100" s="28" t="n">
        <v>93</v>
      </c>
      <c r="E100" s="29" t="n"/>
      <c r="F100" s="29" t="n"/>
      <c r="G100" s="29" t="n"/>
      <c r="H100" s="29" t="n"/>
      <c r="I100" s="29" t="n"/>
      <c r="J100" s="29" t="n"/>
      <c r="K100" s="29" t="n"/>
      <c r="L100" s="1" t="n"/>
      <c r="M100" s="1" t="n"/>
      <c r="N100" s="1" t="n"/>
      <c r="O100" s="1" t="n"/>
    </row>
    <row r="101" ht="15.75" customHeight="1">
      <c r="A101" s="1" t="n"/>
      <c r="B101" s="1" t="n"/>
      <c r="C101" s="1" t="n"/>
      <c r="D101" s="32" t="n">
        <v>94</v>
      </c>
      <c r="E101" s="33" t="n"/>
      <c r="F101" s="33" t="n"/>
      <c r="G101" s="33" t="n"/>
      <c r="H101" s="33" t="n"/>
      <c r="I101" s="33" t="n"/>
      <c r="J101" s="33" t="n"/>
      <c r="K101" s="33" t="n"/>
      <c r="L101" s="1" t="n"/>
      <c r="M101" s="1" t="n"/>
      <c r="N101" s="1" t="n"/>
      <c r="O101" s="1" t="n"/>
    </row>
    <row r="102" ht="15.75" customHeight="1">
      <c r="A102" s="1" t="n"/>
      <c r="B102" s="1" t="n"/>
      <c r="C102" s="1" t="n"/>
      <c r="D102" s="28" t="n">
        <v>95</v>
      </c>
      <c r="E102" s="29" t="n"/>
      <c r="F102" s="29" t="n"/>
      <c r="G102" s="29" t="n"/>
      <c r="H102" s="29" t="n"/>
      <c r="I102" s="29" t="n"/>
      <c r="J102" s="29" t="n"/>
      <c r="K102" s="29" t="n"/>
      <c r="L102" s="1" t="n"/>
      <c r="M102" s="1" t="n"/>
      <c r="N102" s="1" t="n"/>
      <c r="O102" s="1" t="n"/>
    </row>
    <row r="103" ht="15.75" customHeight="1">
      <c r="A103" s="1" t="n"/>
      <c r="B103" s="1" t="n"/>
      <c r="C103" s="1" t="n"/>
      <c r="D103" s="32" t="n">
        <v>96</v>
      </c>
      <c r="E103" s="33" t="n"/>
      <c r="F103" s="33" t="n"/>
      <c r="G103" s="33" t="n"/>
      <c r="H103" s="33" t="n"/>
      <c r="I103" s="33" t="n"/>
      <c r="J103" s="33" t="n"/>
      <c r="K103" s="33" t="n"/>
      <c r="L103" s="1" t="n"/>
      <c r="M103" s="1" t="n"/>
      <c r="N103" s="1" t="n"/>
      <c r="O103" s="1" t="n"/>
    </row>
    <row r="104" ht="15.75" customHeight="1">
      <c r="A104" s="1" t="n"/>
      <c r="B104" s="1" t="n"/>
      <c r="C104" s="1" t="n"/>
      <c r="D104" s="28" t="n">
        <v>97</v>
      </c>
      <c r="E104" s="29" t="n"/>
      <c r="F104" s="29" t="n"/>
      <c r="G104" s="29" t="n"/>
      <c r="H104" s="29" t="n"/>
      <c r="I104" s="29" t="n"/>
      <c r="J104" s="29" t="n"/>
      <c r="K104" s="29" t="n"/>
      <c r="L104" s="1" t="n"/>
      <c r="M104" s="1" t="n"/>
      <c r="N104" s="1" t="n"/>
      <c r="O104" s="1" t="n"/>
    </row>
    <row r="105" ht="15.75" customHeight="1">
      <c r="A105" s="1" t="n"/>
      <c r="B105" s="1" t="n"/>
      <c r="C105" s="1" t="n"/>
      <c r="D105" s="32" t="n">
        <v>98</v>
      </c>
      <c r="E105" s="33" t="n"/>
      <c r="F105" s="33" t="n"/>
      <c r="G105" s="33" t="n"/>
      <c r="H105" s="33" t="n"/>
      <c r="I105" s="33" t="n"/>
      <c r="J105" s="33" t="n"/>
      <c r="K105" s="33" t="n"/>
      <c r="L105" s="1" t="n"/>
      <c r="M105" s="1" t="n"/>
      <c r="N105" s="1" t="n"/>
      <c r="O105" s="1" t="n"/>
    </row>
    <row r="106" ht="15.75" customHeight="1">
      <c r="A106" s="1" t="n"/>
      <c r="B106" s="1" t="n"/>
      <c r="C106" s="1" t="n"/>
      <c r="D106" s="28" t="n">
        <v>99</v>
      </c>
      <c r="E106" s="29" t="n"/>
      <c r="F106" s="29" t="n"/>
      <c r="G106" s="29" t="n"/>
      <c r="H106" s="29" t="n"/>
      <c r="I106" s="29" t="n"/>
      <c r="J106" s="29" t="n"/>
      <c r="K106" s="29" t="n"/>
      <c r="L106" s="1" t="n"/>
      <c r="M106" s="1" t="n"/>
      <c r="N106" s="1" t="n"/>
      <c r="O106" s="1" t="n"/>
    </row>
    <row r="107" ht="15.75" customHeight="1">
      <c r="A107" s="1" t="n"/>
      <c r="B107" s="1" t="n"/>
      <c r="C107" s="1" t="n"/>
      <c r="D107" s="32" t="n">
        <v>100</v>
      </c>
      <c r="E107" s="33" t="n"/>
      <c r="F107" s="33" t="n"/>
      <c r="G107" s="33" t="n"/>
      <c r="H107" s="33" t="n"/>
      <c r="I107" s="33" t="n"/>
      <c r="J107" s="33" t="n"/>
      <c r="K107" s="33" t="n"/>
      <c r="L107" s="1" t="n"/>
      <c r="M107" s="1" t="n"/>
      <c r="N107" s="1" t="n"/>
      <c r="O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</sheetData>
  <autoFilter ref="D7:K107"/>
  <mergeCells count="1">
    <mergeCell ref="D5:K5"/>
  </mergeCells>
  <conditionalFormatting sqref="D8:K107">
    <cfRule type="expression" priority="1" dxfId="2">
      <formula>$H8="High"</formula>
    </cfRule>
    <cfRule type="expression" priority="2" dxfId="1">
      <formula>$H8="Medium"</formula>
    </cfRule>
  </conditionalFormatting>
  <conditionalFormatting sqref="H8:H107">
    <cfRule type="dataBar" priority="3">
      <dataBar>
        <cfvo type="min"/>
        <cfvo type="max"/>
        <color rgb="00E07A5F"/>
      </dataBar>
    </cfRule>
  </conditionalFormatting>
  <dataValidations count="2">
    <dataValidation sqref="G8:G107" showDropDown="0" showInputMessage="0" showErrorMessage="0" allowBlank="1" errorTitle="Invalid Entry" error="Please select from the dropdown" type="list">
      <formula1>"Fantasy,Sci-Fi,Romance,Mystery/Thriller,Non-Fiction,Biography,Self-Help,Historical Fiction,Horror,Literary Fiction,YA,Poetry,Graphic Novel,Business,Science,Philosophy,Other"</formula1>
    </dataValidation>
    <dataValidation sqref="H8:H107" showDropDown="0" showInputMessage="0" showErrorMessage="0" allowBlank="1" errorTitle="Invalid Entry" error="Please select from the dropdown" type="list">
      <formula1>"High,Medium,Low"</formula1>
    </dataValidation>
  </dataValidations>
  <hyperlinks>
    <hyperlink ref="B5" location="'Instructions'!D1" display="Instructions"/>
    <hyperlink ref="B6" location="'Setup'!D1" display="Setup"/>
    <hyperlink ref="B9" location="'Book Tracker'!D1" display="Book Tracker"/>
    <hyperlink ref="B10" location="'Books Gallery'!D1" display="Books Gallery"/>
    <hyperlink ref="B13" location="'Reading Calendar'!D1" display="Reading Calendar"/>
    <hyperlink ref="B17" location="'Dashboard'!D1" display="Dashboard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1B29A"/>
    <outlinePr summaryBelow="1" summaryRight="1"/>
    <pageSetUpPr/>
  </sheetPr>
  <dimension ref="A1:AP54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15.75" customHeight="1">
      <c r="A1" s="10" t="n"/>
      <c r="B1" s="10" t="n"/>
      <c r="C1" s="1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5.75" customHeight="1">
      <c r="A2" s="10" t="n"/>
      <c r="B2" s="12" t="inlineStr">
        <is>
          <t>📚 BOOK TRACKER</t>
        </is>
      </c>
      <c r="C2" s="1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5.75" customHeight="1">
      <c r="A3" s="10" t="n"/>
      <c r="B3" s="10" t="n"/>
      <c r="C3" s="1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H3" s="47" t="inlineStr">
        <is>
          <t>Month</t>
        </is>
      </c>
      <c r="AI3" s="47" t="inlineStr">
        <is>
          <t>Books</t>
        </is>
      </c>
      <c r="AJ3" s="47" t="inlineStr">
        <is>
          <t>Pages</t>
        </is>
      </c>
      <c r="AL3" s="47" t="inlineStr">
        <is>
          <t>Genre</t>
        </is>
      </c>
      <c r="AM3" s="47" t="inlineStr">
        <is>
          <t>Count</t>
        </is>
      </c>
      <c r="AO3" s="47" t="inlineStr">
        <is>
          <t>Rating</t>
        </is>
      </c>
      <c r="AP3" s="47" t="inlineStr">
        <is>
          <t>Count</t>
        </is>
      </c>
    </row>
    <row r="4" ht="15.75" customHeight="1">
      <c r="A4" s="10" t="n"/>
      <c r="B4" s="14" t="inlineStr">
        <is>
          <t>SETUP</t>
        </is>
      </c>
      <c r="C4" s="1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H4" t="inlineStr">
        <is>
          <t>Jan</t>
        </is>
      </c>
      <c r="AI4">
        <f>COUNTIFS('Book Tracker'!H$8:H$207,"Finished",'Book Tracker'!M$8:M$207,"&gt;="&amp;DATE(2026,1,1),'Book Tracker'!M$8:M$207,"&lt;"&amp;DATE(2026,2,1))</f>
        <v/>
      </c>
      <c r="AJ4">
        <f>SUMPRODUCT(('Book Tracker'!H$8:H$207="Finished")*(MONTH('Book Tracker'!M$8:M$207)=1)*(YEAR('Book Tracker'!M$8:M$207)=2026)*'Book Tracker'!K$8:K$207)</f>
        <v/>
      </c>
      <c r="AL4" t="inlineStr">
        <is>
          <t>Literary Fiction</t>
        </is>
      </c>
      <c r="AM4">
        <f>COUNTIF('Book Tracker'!G$8:G$207,"Literary Fiction")</f>
        <v/>
      </c>
      <c r="AO4" t="n">
        <v>1</v>
      </c>
      <c r="AP4">
        <f>COUNTIF('Book Tracker'!I$8:I$207,1)</f>
        <v/>
      </c>
    </row>
    <row r="5" ht="28" customHeight="1">
      <c r="A5" s="10" t="n"/>
      <c r="B5" s="15" t="inlineStr">
        <is>
          <t>Instructions</t>
        </is>
      </c>
      <c r="C5" s="11" t="n"/>
      <c r="D5" s="13" t="inlineStr">
        <is>
          <t>📊  READING DASHBOARD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H5" t="inlineStr">
        <is>
          <t>Feb</t>
        </is>
      </c>
      <c r="AI5">
        <f>COUNTIFS('Book Tracker'!H$8:H$207,"Finished",'Book Tracker'!M$8:M$207,"&gt;="&amp;DATE(2026,2,1),'Book Tracker'!M$8:M$207,"&lt;"&amp;DATE(2026,3,1))</f>
        <v/>
      </c>
      <c r="AJ5">
        <f>SUMPRODUCT(('Book Tracker'!H$8:H$207="Finished")*(MONTH('Book Tracker'!M$8:M$207)=2)*(YEAR('Book Tracker'!M$8:M$207)=2026)*'Book Tracker'!K$8:K$207)</f>
        <v/>
      </c>
      <c r="AL5" t="inlineStr">
        <is>
          <t>Sci-Fi</t>
        </is>
      </c>
      <c r="AM5">
        <f>COUNTIF('Book Tracker'!G$8:G$207,"Sci-Fi")</f>
        <v/>
      </c>
      <c r="AO5" t="n">
        <v>2</v>
      </c>
      <c r="AP5">
        <f>COUNTIF('Book Tracker'!I$8:I$207,2)</f>
        <v/>
      </c>
    </row>
    <row r="6" ht="15.75" customHeight="1">
      <c r="A6" s="10" t="n"/>
      <c r="B6" s="15" t="inlineStr">
        <is>
          <t>Setup</t>
        </is>
      </c>
      <c r="C6" s="1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H6" t="inlineStr">
        <is>
          <t>Mar</t>
        </is>
      </c>
      <c r="AI6">
        <f>COUNTIFS('Book Tracker'!H$8:H$207,"Finished",'Book Tracker'!M$8:M$207,"&gt;="&amp;DATE(2026,3,1),'Book Tracker'!M$8:M$207,"&lt;"&amp;DATE(2026,4,1))</f>
        <v/>
      </c>
      <c r="AJ6">
        <f>SUMPRODUCT(('Book Tracker'!H$8:H$207="Finished")*(MONTH('Book Tracker'!M$8:M$207)=3)*(YEAR('Book Tracker'!M$8:M$207)=2026)*'Book Tracker'!K$8:K$207)</f>
        <v/>
      </c>
      <c r="AL6" t="inlineStr">
        <is>
          <t>Self-Help</t>
        </is>
      </c>
      <c r="AM6">
        <f>COUNTIF('Book Tracker'!G$8:G$207,"Self-Help")</f>
        <v/>
      </c>
      <c r="AO6" t="n">
        <v>3</v>
      </c>
      <c r="AP6">
        <f>COUNTIF('Book Tracker'!I$8:I$207,3)</f>
        <v/>
      </c>
    </row>
    <row r="7" ht="4" customHeight="1">
      <c r="A7" s="10" t="n"/>
      <c r="B7" s="10" t="n"/>
      <c r="C7" s="11" t="n"/>
      <c r="D7" s="48" t="n"/>
      <c r="E7" s="48" t="n"/>
      <c r="F7" s="48" t="n"/>
      <c r="G7" s="1" t="n"/>
      <c r="H7" s="48" t="n"/>
      <c r="I7" s="48" t="n"/>
      <c r="J7" s="48" t="n"/>
      <c r="K7" s="1" t="n"/>
      <c r="L7" s="48" t="n"/>
      <c r="M7" s="48" t="n"/>
      <c r="N7" s="48" t="n"/>
      <c r="O7" s="1" t="n"/>
      <c r="P7" s="48" t="n"/>
      <c r="Q7" s="48" t="n"/>
      <c r="R7" s="48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H7" t="inlineStr">
        <is>
          <t>Apr</t>
        </is>
      </c>
      <c r="AI7">
        <f>COUNTIFS('Book Tracker'!H$8:H$207,"Finished",'Book Tracker'!M$8:M$207,"&gt;="&amp;DATE(2026,4,1),'Book Tracker'!M$8:M$207,"&lt;"&amp;DATE(2026,5,1))</f>
        <v/>
      </c>
      <c r="AJ7">
        <f>SUMPRODUCT(('Book Tracker'!H$8:H$207="Finished")*(MONTH('Book Tracker'!M$8:M$207)=4)*(YEAR('Book Tracker'!M$8:M$207)=2026)*'Book Tracker'!K$8:K$207)</f>
        <v/>
      </c>
      <c r="AL7" t="inlineStr">
        <is>
          <t>Fantasy</t>
        </is>
      </c>
      <c r="AM7">
        <f>COUNTIF('Book Tracker'!G$8:G$207,"Fantasy")</f>
        <v/>
      </c>
      <c r="AO7" t="n">
        <v>4</v>
      </c>
      <c r="AP7">
        <f>COUNTIF('Book Tracker'!I$8:I$207,4)</f>
        <v/>
      </c>
    </row>
    <row r="8" ht="36" customHeight="1">
      <c r="A8" s="10" t="n"/>
      <c r="B8" s="14" t="inlineStr">
        <is>
          <t>LIBRARY</t>
        </is>
      </c>
      <c r="C8" s="11" t="n"/>
      <c r="D8" s="49">
        <f>COUNTIF('Book Tracker'!H8:H207,"Finished")</f>
        <v/>
      </c>
      <c r="E8" s="50" t="n"/>
      <c r="F8" s="50" t="n"/>
      <c r="G8" s="1" t="n"/>
      <c r="H8" s="49">
        <f>SUMIF('Book Tracker'!H8:H207,"Finished",'Book Tracker'!K8:K207)</f>
        <v/>
      </c>
      <c r="I8" s="50" t="n"/>
      <c r="J8" s="50" t="n"/>
      <c r="K8" s="1" t="n"/>
      <c r="L8" s="51">
        <f>IFERROR(AVERAGEIF('Book Tracker'!H8:H207,"Finished",'Book Tracker'!I8:I207),0)</f>
        <v/>
      </c>
      <c r="M8" s="50" t="n"/>
      <c r="N8" s="50" t="n"/>
      <c r="O8" s="1" t="n"/>
      <c r="P8" s="52">
        <f>IFERROR(COUNTIF('Book Tracker'!H8:H207,"Finished")/Setup!E7,0)</f>
        <v/>
      </c>
      <c r="Q8" s="50" t="n"/>
      <c r="R8" s="50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H8" t="inlineStr">
        <is>
          <t>May</t>
        </is>
      </c>
      <c r="AI8">
        <f>COUNTIFS('Book Tracker'!H$8:H$207,"Finished",'Book Tracker'!M$8:M$207,"&gt;="&amp;DATE(2026,5,1),'Book Tracker'!M$8:M$207,"&lt;"&amp;DATE(2026,6,1))</f>
        <v/>
      </c>
      <c r="AJ8">
        <f>SUMPRODUCT(('Book Tracker'!H$8:H$207="Finished")*(MONTH('Book Tracker'!M$8:M$207)=5)*(YEAR('Book Tracker'!M$8:M$207)=2026)*'Book Tracker'!K$8:K$207)</f>
        <v/>
      </c>
      <c r="AL8" t="inlineStr">
        <is>
          <t>Biography</t>
        </is>
      </c>
      <c r="AM8">
        <f>COUNTIF('Book Tracker'!G$8:G$207,"Biography")</f>
        <v/>
      </c>
      <c r="AO8" t="n">
        <v>5</v>
      </c>
      <c r="AP8">
        <f>COUNTIF('Book Tracker'!I$8:I$207,5)</f>
        <v/>
      </c>
    </row>
    <row r="9" ht="18" customHeight="1">
      <c r="A9" s="10" t="n"/>
      <c r="B9" s="15" t="inlineStr">
        <is>
          <t>Book Tracker</t>
        </is>
      </c>
      <c r="C9" s="11" t="n"/>
      <c r="D9" s="39" t="inlineStr">
        <is>
          <t>BOOKS READ</t>
        </is>
      </c>
      <c r="E9" s="50" t="n"/>
      <c r="F9" s="50" t="n"/>
      <c r="G9" s="1" t="n"/>
      <c r="H9" s="39" t="inlineStr">
        <is>
          <t>PAGES READ</t>
        </is>
      </c>
      <c r="I9" s="50" t="n"/>
      <c r="J9" s="50" t="n"/>
      <c r="K9" s="1" t="n"/>
      <c r="L9" s="39" t="inlineStr">
        <is>
          <t>AVG RATING</t>
        </is>
      </c>
      <c r="M9" s="50" t="n"/>
      <c r="N9" s="50" t="n"/>
      <c r="O9" s="1" t="n"/>
      <c r="P9" s="39" t="inlineStr">
        <is>
          <t>READING GOAL</t>
        </is>
      </c>
      <c r="Q9" s="50" t="n"/>
      <c r="R9" s="50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H9" t="inlineStr">
        <is>
          <t>Jun</t>
        </is>
      </c>
      <c r="AI9">
        <f>COUNTIFS('Book Tracker'!H$8:H$207,"Finished",'Book Tracker'!M$8:M$207,"&gt;="&amp;DATE(2026,6,1),'Book Tracker'!M$8:M$207,"&lt;"&amp;DATE(2026,7,1))</f>
        <v/>
      </c>
      <c r="AJ9">
        <f>SUMPRODUCT(('Book Tracker'!H$8:H$207="Finished")*(MONTH('Book Tracker'!M$8:M$207)=6)*(YEAR('Book Tracker'!M$8:M$207)=2026)*'Book Tracker'!K$8:K$207)</f>
        <v/>
      </c>
    </row>
    <row r="10" ht="15.75" customHeight="1">
      <c r="A10" s="10" t="n"/>
      <c r="B10" s="15" t="inlineStr">
        <is>
          <t>Books Gallery</t>
        </is>
      </c>
      <c r="C10" s="1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H10" t="inlineStr">
        <is>
          <t>Jul</t>
        </is>
      </c>
      <c r="AI10">
        <f>COUNTIFS('Book Tracker'!H$8:H$207,"Finished",'Book Tracker'!M$8:M$207,"&gt;="&amp;DATE(2026,7,1),'Book Tracker'!M$8:M$207,"&lt;"&amp;DATE(2026,8,1))</f>
        <v/>
      </c>
      <c r="AJ10">
        <f>SUMPRODUCT(('Book Tracker'!H$8:H$207="Finished")*(MONTH('Book Tracker'!M$8:M$207)=7)*(YEAR('Book Tracker'!M$8:M$207)=2026)*'Book Tracker'!K$8:K$207)</f>
        <v/>
      </c>
    </row>
    <row r="11" ht="15.75" customHeight="1">
      <c r="A11" s="10" t="n"/>
      <c r="B11" s="10" t="n"/>
      <c r="C11" s="11" t="n"/>
      <c r="D11" s="8" t="inlineStr">
        <is>
          <t>READING GOAL PROGRESS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H11" t="inlineStr">
        <is>
          <t>Aug</t>
        </is>
      </c>
      <c r="AI11">
        <f>COUNTIFS('Book Tracker'!H$8:H$207,"Finished",'Book Tracker'!M$8:M$207,"&gt;="&amp;DATE(2026,8,1),'Book Tracker'!M$8:M$207,"&lt;"&amp;DATE(2026,9,1))</f>
        <v/>
      </c>
      <c r="AJ11">
        <f>SUMPRODUCT(('Book Tracker'!H$8:H$207="Finished")*(MONTH('Book Tracker'!M$8:M$207)=8)*(YEAR('Book Tracker'!M$8:M$207)=2026)*'Book Tracker'!K$8:K$207)</f>
        <v/>
      </c>
    </row>
    <row r="12" ht="15.75" customHeight="1">
      <c r="A12" s="10" t="n"/>
      <c r="B12" s="14" t="inlineStr">
        <is>
          <t>PLANNING</t>
        </is>
      </c>
      <c r="C12" s="11" t="n"/>
      <c r="D12" s="21">
        <f>COUNTIF('Book Tracker'!H8:H207,"Finished")&amp;" of "&amp;Setup!E7&amp;" books read"</f>
        <v/>
      </c>
      <c r="E12" s="1" t="n"/>
      <c r="F12" s="1" t="n"/>
      <c r="G12" s="53">
        <f>IFERROR(COUNTIF('Book Tracker'!H8:H207,"Finished")/Setup!E7,0)</f>
        <v/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H12" t="inlineStr">
        <is>
          <t>Sep</t>
        </is>
      </c>
      <c r="AI12">
        <f>COUNTIFS('Book Tracker'!H$8:H$207,"Finished",'Book Tracker'!M$8:M$207,"&gt;="&amp;DATE(2026,9,1),'Book Tracker'!M$8:M$207,"&lt;"&amp;DATE(2026,10,1))</f>
        <v/>
      </c>
      <c r="AJ12">
        <f>SUMPRODUCT(('Book Tracker'!H$8:H$207="Finished")*(MONTH('Book Tracker'!M$8:M$207)=9)*(YEAR('Book Tracker'!M$8:M$207)=2026)*'Book Tracker'!K$8:K$207)</f>
        <v/>
      </c>
    </row>
    <row r="13" ht="15.75" customHeight="1">
      <c r="A13" s="10" t="n"/>
      <c r="B13" s="15" t="inlineStr">
        <is>
          <t>Reading Calendar</t>
        </is>
      </c>
      <c r="C13" s="1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H13" t="inlineStr">
        <is>
          <t>Oct</t>
        </is>
      </c>
      <c r="AI13">
        <f>COUNTIFS('Book Tracker'!H$8:H$207,"Finished",'Book Tracker'!M$8:M$207,"&gt;="&amp;DATE(2026,10,1),'Book Tracker'!M$8:M$207,"&lt;"&amp;DATE(2026,11,1))</f>
        <v/>
      </c>
      <c r="AJ13">
        <f>SUMPRODUCT(('Book Tracker'!H$8:H$207="Finished")*(MONTH('Book Tracker'!M$8:M$207)=10)*(YEAR('Book Tracker'!M$8:M$207)=2026)*'Book Tracker'!K$8:K$207)</f>
        <v/>
      </c>
    </row>
    <row r="14" ht="15.75" customHeight="1">
      <c r="A14" s="10" t="n"/>
      <c r="B14" s="15" t="inlineStr">
        <is>
          <t>Wishlist</t>
        </is>
      </c>
      <c r="C14" s="1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H14" t="inlineStr">
        <is>
          <t>Nov</t>
        </is>
      </c>
      <c r="AI14">
        <f>COUNTIFS('Book Tracker'!H$8:H$207,"Finished",'Book Tracker'!M$8:M$207,"&gt;="&amp;DATE(2026,11,1),'Book Tracker'!M$8:M$207,"&lt;"&amp;DATE(2026,12,1))</f>
        <v/>
      </c>
      <c r="AJ14">
        <f>SUMPRODUCT(('Book Tracker'!H$8:H$207="Finished")*(MONTH('Book Tracker'!M$8:M$207)=11)*(YEAR('Book Tracker'!M$8:M$207)=2026)*'Book Tracker'!K$8:K$207)</f>
        <v/>
      </c>
    </row>
    <row r="15" ht="15.75" customHeight="1">
      <c r="A15" s="10" t="n"/>
      <c r="B15" s="10" t="n"/>
      <c r="C15" s="1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H15" t="inlineStr">
        <is>
          <t>Dec</t>
        </is>
      </c>
      <c r="AI15">
        <f>COUNTIFS('Book Tracker'!H$8:H$207,"Finished",'Book Tracker'!M$8:M$207,"&gt;="&amp;DATE(2026,12,1),'Book Tracker'!M$8:M$207,"&lt;"&amp;DATE(2027,1,1))</f>
        <v/>
      </c>
      <c r="AJ15">
        <f>SUMPRODUCT(('Book Tracker'!H$8:H$207="Finished")*(MONTH('Book Tracker'!M$8:M$207)=12)*(YEAR('Book Tracker'!M$8:M$207)=2026)*'Book Tracker'!K$8:K$207)</f>
        <v/>
      </c>
    </row>
    <row r="16" ht="15.75" customHeight="1">
      <c r="A16" s="10" t="n"/>
      <c r="B16" s="14" t="inlineStr">
        <is>
          <t>OVERVIEW</t>
        </is>
      </c>
      <c r="C16" s="1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 ht="15.75" customHeight="1">
      <c r="A17" s="16" t="n"/>
      <c r="B17" s="17" t="inlineStr">
        <is>
          <t>Dashboard</t>
        </is>
      </c>
      <c r="C17" s="18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 ht="15.75" customHeight="1">
      <c r="A18" s="10" t="n"/>
      <c r="B18" s="10" t="n"/>
      <c r="C18" s="1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 ht="15.75" customHeight="1">
      <c r="A19" s="10" t="n"/>
      <c r="B19" s="10" t="n"/>
      <c r="C19" s="1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 ht="15.75" customHeight="1">
      <c r="A20" s="10" t="n"/>
      <c r="B20" s="10" t="n"/>
      <c r="C20" s="1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 ht="15.75" customHeight="1">
      <c r="A21" s="10" t="n"/>
      <c r="B21" s="10" t="n"/>
      <c r="C21" s="1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15.75" customHeight="1">
      <c r="A22" s="10" t="n"/>
      <c r="B22" s="10" t="n"/>
      <c r="C22" s="1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15.75" customHeight="1">
      <c r="A23" s="10" t="n"/>
      <c r="B23" s="10" t="n"/>
      <c r="C23" s="1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15.75" customHeight="1">
      <c r="A24" s="10" t="n"/>
      <c r="B24" s="10" t="n"/>
      <c r="C24" s="1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 ht="15.75" customHeight="1">
      <c r="A25" s="10" t="n"/>
      <c r="B25" s="10" t="n"/>
      <c r="C25" s="1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 ht="15.75" customHeight="1">
      <c r="A26" s="10" t="n"/>
      <c r="B26" s="10" t="n"/>
      <c r="C26" s="1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 ht="15.75" customHeight="1">
      <c r="A27" s="10" t="n"/>
      <c r="B27" s="10" t="n"/>
      <c r="C27" s="1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 ht="15.75" customHeight="1">
      <c r="A28" s="10" t="n"/>
      <c r="B28" s="10" t="n"/>
      <c r="C28" s="1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15.75" customHeight="1">
      <c r="A29" s="10" t="n"/>
      <c r="B29" s="10" t="n"/>
      <c r="C29" s="1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 ht="15.75" customHeight="1">
      <c r="A30" s="10" t="n"/>
      <c r="B30" s="10" t="n"/>
      <c r="C30" s="1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 ht="15.75" customHeight="1">
      <c r="A31" s="10" t="n"/>
      <c r="B31" s="10" t="n"/>
      <c r="C31" s="1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 ht="15.75" customHeight="1">
      <c r="A32" s="10" t="n"/>
      <c r="B32" s="10" t="n"/>
      <c r="C32" s="1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 ht="15.75" customHeight="1">
      <c r="A33" s="10" t="n"/>
      <c r="B33" s="10" t="n"/>
      <c r="C33" s="1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 ht="15.75" customHeight="1">
      <c r="A34" s="10" t="n"/>
      <c r="B34" s="10" t="n"/>
      <c r="C34" s="1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 ht="15.75" customHeight="1">
      <c r="A35" s="10" t="n"/>
      <c r="B35" s="10" t="n"/>
      <c r="C35" s="1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15.75" customHeight="1">
      <c r="A36" s="10" t="n"/>
      <c r="B36" s="10" t="n"/>
      <c r="C36" s="1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15.75" customHeight="1">
      <c r="A37" s="10" t="n"/>
      <c r="B37" s="10" t="n"/>
      <c r="C37" s="1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15.75" customHeight="1">
      <c r="A38" s="10" t="n"/>
      <c r="B38" s="10" t="n"/>
      <c r="C38" s="1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15.75" customHeight="1">
      <c r="A39" s="10" t="n"/>
      <c r="B39" s="10" t="n"/>
      <c r="C39" s="1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15.75" customHeight="1">
      <c r="A40" s="10" t="n"/>
      <c r="B40" s="10" t="n"/>
      <c r="C40" s="1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 ht="15.75" customHeight="1">
      <c r="A41" s="10" t="n"/>
      <c r="B41" s="10" t="n"/>
      <c r="C41" s="1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 ht="15.75" customHeight="1">
      <c r="A42" s="10" t="n"/>
      <c r="B42" s="10" t="n"/>
      <c r="C42" s="1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5.75" customHeight="1">
      <c r="A43" s="10" t="n"/>
      <c r="B43" s="10" t="n"/>
      <c r="C43" s="1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5.75" customHeight="1">
      <c r="A44" s="10" t="n"/>
      <c r="B44" s="10" t="n"/>
      <c r="C44" s="1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5.75" customHeight="1">
      <c r="A45" s="10" t="n"/>
      <c r="B45" s="10" t="n"/>
      <c r="C45" s="1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5.75" customHeight="1">
      <c r="A46" s="10" t="n"/>
      <c r="B46" s="10" t="n"/>
      <c r="C46" s="11" t="n"/>
    </row>
    <row r="47" ht="15.75" customHeight="1">
      <c r="A47" s="10" t="n"/>
      <c r="B47" s="10" t="n"/>
      <c r="C47" s="11" t="n"/>
    </row>
    <row r="48" ht="15.75" customHeight="1">
      <c r="A48" s="10" t="n"/>
      <c r="B48" s="10" t="n"/>
      <c r="C48" s="11" t="n"/>
    </row>
    <row r="49" ht="15.75" customHeight="1">
      <c r="A49" s="10" t="n"/>
      <c r="B49" s="10" t="n"/>
      <c r="C49" s="11" t="n"/>
    </row>
    <row r="50" ht="15.75" customHeight="1">
      <c r="A50" s="10" t="n"/>
      <c r="B50" s="10" t="n"/>
      <c r="C50" s="11" t="n"/>
    </row>
    <row r="51" ht="15.75" customHeight="1">
      <c r="A51" s="10" t="n"/>
      <c r="B51" s="10" t="n"/>
      <c r="C51" s="11" t="n"/>
    </row>
    <row r="52" ht="15.75" customHeight="1">
      <c r="A52" s="10" t="n"/>
      <c r="B52" s="10" t="n"/>
      <c r="C52" s="11" t="n"/>
    </row>
    <row r="53" ht="15.75" customHeight="1">
      <c r="A53" s="10" t="n"/>
      <c r="B53" s="10" t="n"/>
      <c r="C53" s="11" t="n"/>
    </row>
    <row r="54" ht="15.75" customHeight="1">
      <c r="A54" s="10" t="n"/>
      <c r="B54" s="10" t="n"/>
      <c r="C54" s="11" t="n"/>
    </row>
    <row r="55" ht="15.75" customHeight="1"/>
    <row r="56" ht="15.75" customHeight="1"/>
    <row r="57" ht="15.75" customHeight="1"/>
    <row r="58" ht="15.75" customHeight="1"/>
    <row r="59" ht="15.75" customHeight="1"/>
  </sheetData>
  <mergeCells count="11">
    <mergeCell ref="D11:F11"/>
    <mergeCell ref="P8:R8"/>
    <mergeCell ref="D5:Y5"/>
    <mergeCell ref="H8:J8"/>
    <mergeCell ref="L9:N9"/>
    <mergeCell ref="L8:N8"/>
    <mergeCell ref="D9:F9"/>
    <mergeCell ref="P9:R9"/>
    <mergeCell ref="H9:J9"/>
    <mergeCell ref="D12:F12"/>
    <mergeCell ref="D8:F8"/>
  </mergeCells>
  <conditionalFormatting sqref="G12">
    <cfRule type="dataBar" priority="1">
      <dataBar>
        <cfvo type="num" val="0"/>
        <cfvo type="num" val="1"/>
        <color rgb="0081B29A"/>
      </dataBar>
    </cfRule>
  </conditionalFormatting>
  <hyperlinks>
    <hyperlink ref="B5" location="'Instructions'!D1" display="Instructions"/>
    <hyperlink ref="B6" location="'Setup'!D1" display="Setup"/>
    <hyperlink ref="B9" location="'Book Tracker'!D1" display="Book Tracker"/>
    <hyperlink ref="B10" location="'Books Gallery'!D1" display="Books Gallery"/>
    <hyperlink ref="B13" location="'Reading Calendar'!D1" display="Reading Calendar"/>
    <hyperlink ref="B14" location="'Wishlist'!D1" display="Wishlist"/>
  </hyperlink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2026-04-04T22:54:44Z</dcterms:created>
  <dcterms:modified xsi:type="dcterms:W3CDTF">2026-04-04T22:54:44Z</dcterms:modified>
</cp:coreProperties>
</file>