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ARMY ROSTER" sheetId="3" state="visible" r:id="rId3"/>
    <sheet xmlns:r="http://schemas.openxmlformats.org/officeDocument/2006/relationships" name="PAINTING PROGRESS" sheetId="4" state="visible" r:id="rId4"/>
    <sheet xmlns:r="http://schemas.openxmlformats.org/officeDocument/2006/relationships" name="PAINT INVENTORY" sheetId="5" state="visible" r:id="rId5"/>
    <sheet xmlns:r="http://schemas.openxmlformats.org/officeDocument/2006/relationships" name="PILE OF SHAME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Calibri"/>
      <b val="1"/>
      <color rgb="0016213E"/>
      <sz val="22"/>
    </font>
    <font>
      <name val="Calibri"/>
      <b val="1"/>
      <color rgb="00FFFFFF"/>
      <sz val="10"/>
    </font>
    <font>
      <name val="Calibri"/>
      <b val="1"/>
      <color rgb="0016213E"/>
      <sz val="10"/>
    </font>
    <font>
      <name val="Calibri"/>
      <color rgb="001A1A1A"/>
      <sz val="10"/>
    </font>
    <font>
      <name val="Calibri"/>
      <b val="1"/>
      <color rgb="0016213E"/>
      <sz val="26"/>
    </font>
    <font>
      <name val="Calibri"/>
      <color rgb="00888888"/>
      <sz val="9"/>
    </font>
    <font>
      <name val="Calibri"/>
      <color rgb="0016213E"/>
      <sz val="10"/>
      <u val="single"/>
    </font>
    <font>
      <name val="Calibri"/>
      <b val="1"/>
      <color rgb="00FFFFFF"/>
      <sz val="10"/>
      <u val="single"/>
    </font>
    <font>
      <name val="Calibri"/>
      <b val="1"/>
      <color rgb="00888888"/>
      <sz val="8"/>
    </font>
    <font>
      <name val="Calibri"/>
      <color rgb="001A1A1A"/>
      <sz val="11"/>
    </font>
    <font>
      <name val="Calibri"/>
      <color rgb="0016213E"/>
      <sz val="11"/>
    </font>
    <font>
      <name val="Calibri"/>
      <b val="1"/>
      <color rgb="004A0E8F"/>
      <sz val="14"/>
    </font>
    <font>
      <name val="Calibri"/>
      <b val="1"/>
      <color rgb="00FFFFFF"/>
      <sz val="9"/>
    </font>
    <font>
      <name val="Calibri"/>
      <b val="1"/>
      <color rgb="0016213E"/>
      <sz val="13"/>
    </font>
    <font>
      <name val="Calibri"/>
      <color rgb="00333333"/>
      <sz val="10"/>
    </font>
    <font>
      <name val="Calibri"/>
      <b val="1"/>
      <color rgb="004A0E8F"/>
      <sz val="11"/>
    </font>
    <font>
      <name val="Calibri"/>
      <color rgb="00444444"/>
      <sz val="10"/>
    </font>
    <font>
      <name val="Calibri"/>
      <i val="1"/>
      <color rgb="00555555"/>
      <sz val="10"/>
    </font>
    <font>
      <name val="Calibri"/>
      <b val="1"/>
      <color rgb="004A0E8F"/>
      <sz val="13"/>
    </font>
    <font>
      <name val="Calibri"/>
      <b val="1"/>
      <color rgb="00C0392B"/>
      <sz val="16"/>
    </font>
    <font>
      <name val="Calibri"/>
      <color rgb="0016213E"/>
      <sz val="10"/>
    </font>
  </fonts>
  <fills count="12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E8E4F8"/>
      </patternFill>
    </fill>
    <fill>
      <patternFill patternType="solid">
        <fgColor rgb="00FDFCFA"/>
      </patternFill>
    </fill>
    <fill>
      <patternFill patternType="solid">
        <fgColor rgb="00F0EDF8"/>
      </patternFill>
    </fill>
    <fill>
      <patternFill patternType="solid">
        <fgColor rgb="00F0EEF8"/>
      </patternFill>
    </fill>
    <fill>
      <patternFill patternType="solid">
        <fgColor rgb="004A0E8F"/>
      </patternFill>
    </fill>
    <fill>
      <patternFill patternType="solid">
        <fgColor rgb="00FFFBE8"/>
      </patternFill>
    </fill>
    <fill>
      <patternFill patternType="solid">
        <fgColor rgb="00F5F4F0"/>
      </patternFill>
    </fill>
    <fill>
      <patternFill patternType="solid">
        <fgColor rgb="00EEEAFA"/>
      </patternFill>
    </fill>
    <fill>
      <patternFill patternType="solid">
        <fgColor rgb="00F5F0FF"/>
      </patternFill>
    </fill>
  </fills>
  <borders count="14">
    <border>
      <left/>
      <right/>
      <top/>
      <bottom/>
      <diagonal/>
    </border>
    <border/>
    <border>
      <bottom style="medium">
        <color rgb="004A0E8F"/>
      </bottom>
    </border>
    <border>
      <bottom style="thin">
        <color rgb="00DDD9D0"/>
      </bottom>
    </border>
    <border>
      <top style="thin">
        <color rgb="004A0E8F"/>
      </top>
      <bottom style="double">
        <color rgb="004A0E8F"/>
      </bottom>
    </border>
    <border>
      <bottom style="medium">
        <color rgb="00B8860B"/>
      </bottom>
    </border>
    <border>
      <left style="thin">
        <color rgb="00DDD9D0"/>
      </left>
      <right style="thin">
        <color rgb="00DDD9D0"/>
      </right>
      <top style="thin">
        <color rgb="00DDD9D0"/>
      </top>
      <bottom style="thin">
        <color rgb="00DDD9D0"/>
      </bottom>
    </border>
    <border>
      <left/>
      <right/>
      <top style="thin">
        <color rgb="00DDD9D0"/>
      </top>
      <bottom/>
      <diagonal/>
    </border>
    <border>
      <left style="thin">
        <color rgb="00DDD9D0"/>
      </left>
      <right/>
      <top/>
      <bottom/>
      <diagonal/>
    </border>
    <border>
      <left/>
      <right style="thin">
        <color rgb="00DDD9D0"/>
      </right>
      <top style="thin">
        <color rgb="00DDD9D0"/>
      </top>
      <bottom/>
      <diagonal/>
    </border>
    <border>
      <left/>
      <right style="thin">
        <color rgb="00DDD9D0"/>
      </right>
      <top/>
      <bottom/>
      <diagonal/>
    </border>
    <border>
      <left style="thin">
        <color rgb="00DDD9D0"/>
      </left>
      <right/>
      <top/>
      <bottom style="thin">
        <color rgb="00DDD9D0"/>
      </bottom>
      <diagonal/>
    </border>
    <border>
      <left/>
      <right/>
      <top/>
      <bottom style="thin">
        <color rgb="00DDD9D0"/>
      </bottom>
      <diagonal/>
    </border>
    <border>
      <left/>
      <right style="thin">
        <color rgb="00DDD9D0"/>
      </right>
      <top/>
      <bottom style="thin">
        <color rgb="00DDD9D0"/>
      </bottom>
      <diagonal/>
    </border>
  </borders>
  <cellStyleXfs count="17">
    <xf numFmtId="0" fontId="0" fillId="0" borderId="0"/>
    <xf numFmtId="0" fontId="1" fillId="0" borderId="1" applyAlignment="1">
      <alignment vertical="center"/>
    </xf>
    <xf numFmtId="0" fontId="2" fillId="2" borderId="1" applyAlignment="1">
      <alignment horizontal="left" vertical="center" indent="1"/>
    </xf>
    <xf numFmtId="0" fontId="3" fillId="3" borderId="2" applyAlignment="1">
      <alignment horizontal="center" vertical="center"/>
    </xf>
    <xf numFmtId="0" fontId="4" fillId="4" borderId="3" applyAlignment="1">
      <alignment vertical="center"/>
    </xf>
    <xf numFmtId="0" fontId="4" fillId="5" borderId="3" applyAlignment="1">
      <alignment vertical="center"/>
    </xf>
    <xf numFmtId="0" fontId="3" fillId="3" borderId="4"/>
    <xf numFmtId="0" fontId="5" fillId="0" borderId="1" applyAlignment="1">
      <alignment horizontal="center" vertical="center"/>
    </xf>
    <xf numFmtId="0" fontId="6" fillId="0" borderId="1" applyAlignment="1">
      <alignment horizontal="center" vertical="center"/>
    </xf>
    <xf numFmtId="0" fontId="7" fillId="6" borderId="1"/>
    <xf numFmtId="0" fontId="8" fillId="7" borderId="1"/>
    <xf numFmtId="0" fontId="9" fillId="6" borderId="1"/>
    <xf numFmtId="0" fontId="10" fillId="8" borderId="5" applyAlignment="1">
      <alignment vertical="center" indent="1"/>
    </xf>
    <xf numFmtId="0" fontId="3" fillId="9" borderId="1" applyAlignment="1">
      <alignment horizontal="right" vertical="center"/>
    </xf>
    <xf numFmtId="0" fontId="11" fillId="10" borderId="3" applyAlignment="1">
      <alignment vertical="center" indent="1"/>
    </xf>
    <xf numFmtId="0" fontId="12" fillId="4" borderId="3" applyAlignment="1">
      <alignment horizontal="center" vertical="center"/>
    </xf>
    <xf numFmtId="0" fontId="12" fillId="10" borderId="3" applyAlignment="1">
      <alignment horizontal="center" vertical="center"/>
    </xf>
  </cellStyleXfs>
  <cellXfs count="47">
    <xf numFmtId="0" fontId="0" fillId="0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6" borderId="0" pivotButton="0" quotePrefix="0" xfId="0"/>
    <xf numFmtId="0" fontId="13" fillId="7" borderId="0" applyAlignment="1" pivotButton="0" quotePrefix="0" xfId="0">
      <alignment horizontal="center" vertical="center" wrapText="1"/>
    </xf>
    <xf numFmtId="0" fontId="1" fillId="0" borderId="1" applyAlignment="1" pivotButton="0" quotePrefix="0" xfId="1">
      <alignment vertical="center"/>
    </xf>
    <xf numFmtId="0" fontId="14" fillId="9" borderId="0" pivotButton="0" quotePrefix="0" xfId="0"/>
    <xf numFmtId="0" fontId="9" fillId="6" borderId="1" pivotButton="0" quotePrefix="0" xfId="11"/>
    <xf numFmtId="0" fontId="15" fillId="9" borderId="0" applyAlignment="1" pivotButton="0" quotePrefix="0" xfId="0">
      <alignment vertical="top" wrapText="1"/>
    </xf>
    <xf numFmtId="0" fontId="8" fillId="7" borderId="1" pivotButton="0" quotePrefix="0" xfId="10"/>
    <xf numFmtId="0" fontId="7" fillId="6" borderId="1" pivotButton="0" quotePrefix="0" xfId="9"/>
    <xf numFmtId="0" fontId="16" fillId="10" borderId="0" pivotButton="0" quotePrefix="0" xfId="0"/>
    <xf numFmtId="0" fontId="17" fillId="9" borderId="0" applyAlignment="1" pivotButton="0" quotePrefix="0" xfId="0">
      <alignment vertical="top" wrapText="1"/>
    </xf>
    <xf numFmtId="0" fontId="16" fillId="9" borderId="0" pivotButton="0" quotePrefix="0" xfId="0"/>
    <xf numFmtId="0" fontId="15" fillId="9" borderId="0" pivotButton="0" quotePrefix="0" xfId="0"/>
    <xf numFmtId="0" fontId="18" fillId="8" borderId="0" applyAlignment="1" pivotButton="0" quotePrefix="0" xfId="0">
      <alignment vertical="center" indent="1"/>
    </xf>
    <xf numFmtId="0" fontId="2" fillId="2" borderId="1" applyAlignment="1" pivotButton="0" quotePrefix="0" xfId="2">
      <alignment horizontal="left" vertical="center" indent="1"/>
    </xf>
    <xf numFmtId="0" fontId="3" fillId="9" borderId="1" applyAlignment="1" pivotButton="0" quotePrefix="0" xfId="13">
      <alignment horizontal="right" vertical="center"/>
    </xf>
    <xf numFmtId="0" fontId="10" fillId="8" borderId="5" applyAlignment="1" pivotButton="0" quotePrefix="0" xfId="12">
      <alignment vertical="center" indent="1"/>
    </xf>
    <xf numFmtId="0" fontId="18" fillId="8" borderId="0" applyAlignment="1" pivotButton="0" quotePrefix="0" xfId="0">
      <alignment vertical="top" wrapText="1"/>
    </xf>
    <xf numFmtId="0" fontId="3" fillId="3" borderId="2" applyAlignment="1" pivotButton="0" quotePrefix="0" xfId="3">
      <alignment horizontal="center" vertical="center"/>
    </xf>
    <xf numFmtId="0" fontId="4" fillId="4" borderId="3" applyAlignment="1" pivotButton="0" quotePrefix="0" xfId="4">
      <alignment vertical="center"/>
    </xf>
    <xf numFmtId="0" fontId="4" fillId="4" borderId="3" applyAlignment="1" pivotButton="0" quotePrefix="0" xfId="4">
      <alignment horizontal="center" vertical="center"/>
    </xf>
    <xf numFmtId="0" fontId="4" fillId="5" borderId="3" applyAlignment="1" pivotButton="0" quotePrefix="0" xfId="5">
      <alignment vertical="center"/>
    </xf>
    <xf numFmtId="0" fontId="4" fillId="5" borderId="3" applyAlignment="1" pivotButton="0" quotePrefix="0" xfId="5">
      <alignment horizontal="center" vertical="center"/>
    </xf>
    <xf numFmtId="0" fontId="3" fillId="3" borderId="4" applyAlignment="1" pivotButton="0" quotePrefix="0" xfId="6">
      <alignment horizontal="right" vertical="center" indent="1"/>
    </xf>
    <xf numFmtId="0" fontId="19" fillId="3" borderId="4" applyAlignment="1" pivotButton="0" quotePrefix="0" xfId="6">
      <alignment horizontal="center" vertical="center"/>
    </xf>
    <xf numFmtId="0" fontId="3" fillId="3" borderId="4" pivotButton="0" quotePrefix="0" xfId="6"/>
    <xf numFmtId="9" fontId="4" fillId="4" borderId="3" applyAlignment="1" pivotButton="0" quotePrefix="0" xfId="4">
      <alignment horizontal="center" vertical="center"/>
    </xf>
    <xf numFmtId="9" fontId="4" fillId="5" borderId="3" applyAlignment="1" pivotButton="0" quotePrefix="0" xfId="5">
      <alignment horizontal="center" vertical="center"/>
    </xf>
    <xf numFmtId="0" fontId="11" fillId="10" borderId="3" applyAlignment="1" pivotButton="0" quotePrefix="0" xfId="14">
      <alignment vertical="center" indent="1"/>
    </xf>
    <xf numFmtId="0" fontId="12" fillId="4" borderId="3" applyAlignment="1" pivotButton="0" quotePrefix="0" xfId="15">
      <alignment horizontal="center" vertical="center"/>
    </xf>
    <xf numFmtId="0" fontId="12" fillId="10" borderId="3" applyAlignment="1" pivotButton="0" quotePrefix="0" xfId="16">
      <alignment horizontal="center" vertical="center"/>
    </xf>
    <xf numFmtId="0" fontId="20" fillId="10" borderId="3" applyAlignment="1" pivotButton="0" quotePrefix="0" xfId="16">
      <alignment horizontal="center" vertical="center"/>
    </xf>
    <xf numFmtId="0" fontId="18" fillId="11" borderId="0" applyAlignment="1" pivotButton="0" quotePrefix="0" xfId="0">
      <alignment horizontal="center" vertical="center" wrapText="1"/>
    </xf>
    <xf numFmtId="0" fontId="0" fillId="7" borderId="6" pivotButton="0" quotePrefix="0" xfId="0"/>
    <xf numFmtId="3" fontId="5" fillId="4" borderId="1" applyAlignment="1" pivotButton="0" quotePrefix="0" xfId="7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9" fontId="5" fillId="4" borderId="1" applyAlignment="1" pivotButton="0" quotePrefix="0" xfId="7">
      <alignment horizontal="center" vertical="center"/>
    </xf>
    <xf numFmtId="164" fontId="5" fillId="4" borderId="1" applyAlignment="1" pivotButton="0" quotePrefix="0" xfId="7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4" borderId="1" applyAlignment="1" pivotButton="0" quotePrefix="0" xfId="8">
      <alignment horizontal="center" vertical="center"/>
    </xf>
    <xf numFmtId="0" fontId="21" fillId="10" borderId="3" pivotButton="0" quotePrefix="0" xfId="0"/>
    <xf numFmtId="0" fontId="21" fillId="4" borderId="3" applyAlignment="1" pivotButton="0" quotePrefix="0" xfId="0">
      <alignment horizontal="center" vertical="center"/>
    </xf>
  </cellXfs>
  <cellStyles count="17">
    <cellStyle name="Normal" xfId="0" builtinId="0" hidden="0"/>
    <cellStyle name="ttl" xfId="1" hidden="0"/>
    <cellStyle name="sec_hdr" xfId="2" hidden="0"/>
    <cellStyle name="col_hdr" xfId="3" hidden="0"/>
    <cellStyle name="dat" xfId="4" hidden="0"/>
    <cellStyle name="dat2" xfId="5" hidden="0"/>
    <cellStyle name="tot" xfId="6" hidden="0"/>
    <cellStyle name="kpi_v" xfId="7" hidden="0"/>
    <cellStyle name="kpi_l" xfId="8" hidden="0"/>
    <cellStyle name="sb_lnk" xfId="9" hidden="0"/>
    <cellStyle name="sb_act" xfId="10" hidden="0"/>
    <cellStyle name="sb_sec" xfId="11" hidden="0"/>
    <cellStyle name="inp" xfId="12" hidden="0"/>
    <cellStyle name="lbl" xfId="13" hidden="0"/>
    <cellStyle name="metric_lbl" xfId="14" hidden="0"/>
    <cellStyle name="metric_val" xfId="15" hidden="0"/>
    <cellStyle name="metric_val2" xfId="16" hidden="0"/>
  </cellStyles>
  <dxfs count="5">
    <dxf>
      <font>
        <b val="1"/>
        <color rgb="001D6A1D"/>
      </font>
      <fill>
        <patternFill patternType="solid">
          <fgColor rgb="00C8F0C8"/>
        </patternFill>
      </fill>
    </dxf>
    <dxf>
      <fill>
        <patternFill patternType="solid">
          <fgColor rgb="00FFE6B0"/>
        </patternFill>
      </fill>
    </dxf>
    <dxf>
      <fill>
        <patternFill patternType="solid">
          <fgColor rgb="00F0C8C8"/>
        </patternFill>
      </fill>
    </dxf>
    <dxf>
      <fill>
        <patternFill patternType="solid">
          <fgColor rgb="00E8E4F8"/>
        </patternFill>
      </fill>
    </dxf>
    <dxf>
      <fill>
        <patternFill patternType="solid">
          <fgColor rgb="00EAF0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Models Completed Per Stage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'DASHBOARD'!E13</f>
            </strRef>
          </tx>
          <spPr>
            <a:solidFill xmlns:a="http://schemas.openxmlformats.org/drawingml/2006/main">
              <a:srgbClr val="4A0E8F"/>
            </a:solidFill>
            <a:ln xmlns:a="http://schemas.openxmlformats.org/drawingml/2006/main">
              <a:prstDash val="solid"/>
            </a:ln>
          </spPr>
          <cat>
            <numRef>
              <f>'DASHBOARD'!$D$14:$D$21</f>
            </numRef>
          </cat>
          <val>
            <numRef>
              <f>'DASHBOARD'!$E$14:$E$21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Models by Painting Status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'DASHBOARD'!H13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'DASHBOARD'!$G$14:$G$18</f>
            </numRef>
          </cat>
          <val>
            <numRef>
              <f>'DASHBOARD'!$H$14:$H$18</f>
            </numRef>
          </val>
        </ser>
        <dLbls>
          <showVal val="0"/>
          <showCatName val="1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22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TUP'!D2" TargetMode="External" Id="rId1"/><Relationship Type="http://schemas.openxmlformats.org/officeDocument/2006/relationships/hyperlink" Target="#'ARMY ROSTER'!D2" TargetMode="External" Id="rId2"/><Relationship Type="http://schemas.openxmlformats.org/officeDocument/2006/relationships/hyperlink" Target="#'PAINTING PROGRESS'!D2" TargetMode="External" Id="rId3"/><Relationship Type="http://schemas.openxmlformats.org/officeDocument/2006/relationships/hyperlink" Target="#'PAINT INVENTORY'!D2" TargetMode="External" Id="rId4"/><Relationship Type="http://schemas.openxmlformats.org/officeDocument/2006/relationships/hyperlink" Target="#'PILE OF SHAME'!D2" TargetMode="External" Id="rId5"/><Relationship Type="http://schemas.openxmlformats.org/officeDocument/2006/relationships/hyperlink" Target="#'DASHBOARD'!D2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INSTRUCTIONS'!D2" TargetMode="External" Id="rId1"/><Relationship Type="http://schemas.openxmlformats.org/officeDocument/2006/relationships/hyperlink" Target="#'ARMY ROSTER'!D2" TargetMode="External" Id="rId2"/><Relationship Type="http://schemas.openxmlformats.org/officeDocument/2006/relationships/hyperlink" Target="#'PAINTING PROGRESS'!D2" TargetMode="External" Id="rId3"/><Relationship Type="http://schemas.openxmlformats.org/officeDocument/2006/relationships/hyperlink" Target="#'PAINT INVENTORY'!D2" TargetMode="External" Id="rId4"/><Relationship Type="http://schemas.openxmlformats.org/officeDocument/2006/relationships/hyperlink" Target="#'PILE OF SHAME'!D2" TargetMode="External" Id="rId5"/><Relationship Type="http://schemas.openxmlformats.org/officeDocument/2006/relationships/hyperlink" Target="#'DASHBOARD'!D2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#'INSTRUCTIONS'!D2" TargetMode="External" Id="rId1"/><Relationship Type="http://schemas.openxmlformats.org/officeDocument/2006/relationships/hyperlink" Target="#'SETUP'!D2" TargetMode="External" Id="rId2"/><Relationship Type="http://schemas.openxmlformats.org/officeDocument/2006/relationships/hyperlink" Target="#'PAINTING PROGRESS'!D2" TargetMode="External" Id="rId3"/><Relationship Type="http://schemas.openxmlformats.org/officeDocument/2006/relationships/hyperlink" Target="#'PAINT INVENTORY'!D2" TargetMode="External" Id="rId4"/><Relationship Type="http://schemas.openxmlformats.org/officeDocument/2006/relationships/hyperlink" Target="#'PILE OF SHAME'!D2" TargetMode="External" Id="rId5"/><Relationship Type="http://schemas.openxmlformats.org/officeDocument/2006/relationships/hyperlink" Target="#'DASHBOARD'!D2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INSTRUCTIONS'!D2" TargetMode="External" Id="rId1"/><Relationship Type="http://schemas.openxmlformats.org/officeDocument/2006/relationships/hyperlink" Target="#'SETUP'!D2" TargetMode="External" Id="rId2"/><Relationship Type="http://schemas.openxmlformats.org/officeDocument/2006/relationships/hyperlink" Target="#'ARMY ROSTER'!D2" TargetMode="External" Id="rId3"/><Relationship Type="http://schemas.openxmlformats.org/officeDocument/2006/relationships/hyperlink" Target="#'PAINT INVENTORY'!D2" TargetMode="External" Id="rId4"/><Relationship Type="http://schemas.openxmlformats.org/officeDocument/2006/relationships/hyperlink" Target="#'PILE OF SHAME'!D2" TargetMode="External" Id="rId5"/><Relationship Type="http://schemas.openxmlformats.org/officeDocument/2006/relationships/hyperlink" Target="#'DASHBOARD'!D2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#'INSTRUCTIONS'!D2" TargetMode="External" Id="rId1"/><Relationship Type="http://schemas.openxmlformats.org/officeDocument/2006/relationships/hyperlink" Target="#'SETUP'!D2" TargetMode="External" Id="rId2"/><Relationship Type="http://schemas.openxmlformats.org/officeDocument/2006/relationships/hyperlink" Target="#'ARMY ROSTER'!D2" TargetMode="External" Id="rId3"/><Relationship Type="http://schemas.openxmlformats.org/officeDocument/2006/relationships/hyperlink" Target="#'PAINTING PROGRESS'!D2" TargetMode="External" Id="rId4"/><Relationship Type="http://schemas.openxmlformats.org/officeDocument/2006/relationships/hyperlink" Target="#'PILE OF SHAME'!D2" TargetMode="External" Id="rId5"/><Relationship Type="http://schemas.openxmlformats.org/officeDocument/2006/relationships/hyperlink" Target="#'DASHBOARD'!D2" TargetMode="External" Id="rId6"/></Relationships>
</file>

<file path=xl/worksheets/_rels/sheet6.xml.rels><Relationships xmlns="http://schemas.openxmlformats.org/package/2006/relationships"><Relationship Type="http://schemas.openxmlformats.org/officeDocument/2006/relationships/hyperlink" Target="#'INSTRUCTIONS'!D2" TargetMode="External" Id="rId1"/><Relationship Type="http://schemas.openxmlformats.org/officeDocument/2006/relationships/hyperlink" Target="#'SETUP'!D2" TargetMode="External" Id="rId2"/><Relationship Type="http://schemas.openxmlformats.org/officeDocument/2006/relationships/hyperlink" Target="#'ARMY ROSTER'!D2" TargetMode="External" Id="rId3"/><Relationship Type="http://schemas.openxmlformats.org/officeDocument/2006/relationships/hyperlink" Target="#'PAINTING PROGRESS'!D2" TargetMode="External" Id="rId4"/><Relationship Type="http://schemas.openxmlformats.org/officeDocument/2006/relationships/hyperlink" Target="#'PAINT INVENTORY'!D2" TargetMode="External" Id="rId5"/><Relationship Type="http://schemas.openxmlformats.org/officeDocument/2006/relationships/hyperlink" Target="#'DASHBOARD'!D2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hyperlink" Target="#'INSTRUCTIONS'!D2" TargetMode="External" Id="rId1"/><Relationship Type="http://schemas.openxmlformats.org/officeDocument/2006/relationships/hyperlink" Target="#'SETUP'!D2" TargetMode="External" Id="rId2"/><Relationship Type="http://schemas.openxmlformats.org/officeDocument/2006/relationships/hyperlink" Target="#'ARMY ROSTER'!D2" TargetMode="External" Id="rId3"/><Relationship Type="http://schemas.openxmlformats.org/officeDocument/2006/relationships/hyperlink" Target="#'PAINTING PROGRESS'!D2" TargetMode="External" Id="rId4"/><Relationship Type="http://schemas.openxmlformats.org/officeDocument/2006/relationships/hyperlink" Target="#'PAINT INVENTORY'!D2" TargetMode="External" Id="rId5"/><Relationship Type="http://schemas.openxmlformats.org/officeDocument/2006/relationships/hyperlink" Target="#'PILE OF SHAME'!D2" TargetMode="External" Id="rId6"/><Relationship Type="http://schemas.openxmlformats.org/officeDocument/2006/relationships/drawing" Target="/xl/drawings/drawing1.xml" Id="rId7"/></Relationships>
</file>

<file path=xl/worksheets/sheet1.xml><?xml version="1.0" encoding="utf-8"?>
<worksheet xmlns="http://schemas.openxmlformats.org/spreadsheetml/2006/main">
  <sheetPr>
    <tabColor rgb="004A0E8F"/>
    <outlinePr summaryBelow="1" summaryRight="1"/>
    <pageSetUpPr/>
  </sheetPr>
  <dimension ref="A1:AN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3" customWidth="1" min="4" max="4"/>
    <col width="58" customWidth="1" min="5" max="5"/>
    <col width="22" customWidth="1" min="6" max="6"/>
  </cols>
  <sheetData>
    <row r="1" ht="6" customHeight="1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36" customHeight="1">
      <c r="A2" s="3" t="n"/>
      <c r="B2" s="4" t="inlineStr">
        <is>
          <t>WARHAMMER
ARMY TRACKER</t>
        </is>
      </c>
      <c r="C2" s="3" t="n"/>
      <c r="D2" s="5" t="inlineStr">
        <is>
          <t>Warhammer Army Tracker  —  Instructions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6" customHeight="1">
      <c r="A3" s="3" t="n"/>
      <c r="B3" s="3" t="n"/>
      <c r="C3" s="3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16" customHeight="1">
      <c r="A4" s="3" t="n"/>
      <c r="B4" s="3" t="n"/>
      <c r="C4" s="3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0" customHeight="1">
      <c r="A5" s="3" t="n"/>
      <c r="B5" s="3" t="n"/>
      <c r="C5" s="3" t="n"/>
      <c r="D5" s="2" t="n"/>
      <c r="E5" s="6" t="inlineStr">
        <is>
          <t>Welcome, Warmaster.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32" customHeight="1">
      <c r="A6" s="3" t="n"/>
      <c r="B6" s="7" t="inlineStr">
        <is>
          <t>OVERVIEW</t>
        </is>
      </c>
      <c r="C6" s="3" t="n"/>
      <c r="D6" s="2" t="n"/>
      <c r="E6" s="8" t="inlineStr">
        <is>
          <t>This premium spreadsheet manages your entire Warhammer collection — from army list to painting queue to paint inventory. Every calculated cell updates automatically.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4" customHeight="1">
      <c r="A7" s="3" t="n"/>
      <c r="B7" s="9" t="inlineStr">
        <is>
          <t>INSTRUCTIONS</t>
        </is>
      </c>
      <c r="C7" s="3" t="n"/>
      <c r="D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20" customHeight="1">
      <c r="A8" s="3" t="n"/>
      <c r="B8" s="10" t="inlineStr">
        <is>
          <t>SETUP</t>
        </is>
      </c>
      <c r="C8" s="3" t="n"/>
      <c r="D8" s="2" t="n"/>
      <c r="E8" s="11" t="inlineStr">
        <is>
          <t>ARMY ROSTER</t>
        </is>
      </c>
      <c r="F8" s="12" t="inlineStr">
        <is>
          <t>Log all your units, factions, points values and painting status. Total army points auto-calculate and update as you add units.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8" customHeight="1">
      <c r="A9" s="3" t="n"/>
      <c r="B9" s="3" t="n"/>
      <c r="C9" s="3" t="n"/>
      <c r="D9" s="2" t="n"/>
      <c r="E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20" customHeight="1">
      <c r="A10" s="3" t="n"/>
      <c r="B10" s="7" t="inlineStr">
        <is>
          <t>TRACKING</t>
        </is>
      </c>
      <c r="C10" s="3" t="n"/>
      <c r="D10" s="2" t="n"/>
      <c r="E10" s="11" t="inlineStr">
        <is>
          <t>PAINTING PROGRESS</t>
        </is>
      </c>
      <c r="F10" s="12" t="inlineStr">
        <is>
          <t>Track each of the 8 painting stages per unit — from Assembly through to Varnished. The % Done column and progress bar update automatically.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8" customHeight="1">
      <c r="A11" s="3" t="n"/>
      <c r="B11" s="10" t="inlineStr">
        <is>
          <t>ARMY ROSTER</t>
        </is>
      </c>
      <c r="C11" s="3" t="n"/>
      <c r="D11" s="2" t="n"/>
      <c r="E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20" customHeight="1">
      <c r="A12" s="3" t="n"/>
      <c r="B12" s="10" t="inlineStr">
        <is>
          <t>PAINTING</t>
        </is>
      </c>
      <c r="C12" s="3" t="n"/>
      <c r="D12" s="2" t="n"/>
      <c r="E12" s="11" t="inlineStr">
        <is>
          <t>PAINT INVENTORY</t>
        </is>
      </c>
      <c r="F12" s="12" t="inlineStr">
        <is>
          <t>Catalogue your paint collection by brand and type. The Status column flags when a colour is Low (1 pot) or Needed (0 pots).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8" customHeight="1">
      <c r="A13" s="3" t="n"/>
      <c r="B13" s="10" t="inlineStr">
        <is>
          <t>PAINT INV.</t>
        </is>
      </c>
      <c r="C13" s="3" t="n"/>
      <c r="D13" s="2" t="n"/>
      <c r="E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20" customHeight="1">
      <c r="A14" s="3" t="n"/>
      <c r="B14" s="3" t="n"/>
      <c r="C14" s="3" t="n"/>
      <c r="D14" s="2" t="n"/>
      <c r="E14" s="11" t="inlineStr">
        <is>
          <t>PILE OF SHAME</t>
        </is>
      </c>
      <c r="F14" s="12" t="inlineStr">
        <is>
          <t>Your honest reckoning. See total unpainted models, outstanding points, and how many weeks it takes to finish at your current pace.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8" customHeight="1">
      <c r="A15" s="3" t="n"/>
      <c r="B15" s="7" t="inlineStr">
        <is>
          <t>ANALYSIS</t>
        </is>
      </c>
      <c r="C15" s="3" t="n"/>
      <c r="D15" s="2" t="n"/>
      <c r="E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20" customHeight="1">
      <c r="A16" s="3" t="n"/>
      <c r="B16" s="10" t="inlineStr">
        <is>
          <t>PILE OF SHAME</t>
        </is>
      </c>
      <c r="C16" s="3" t="n"/>
      <c r="D16" s="2" t="n"/>
      <c r="E16" s="11" t="inlineStr">
        <is>
          <t>DASHBOARD</t>
        </is>
      </c>
      <c r="F16" s="12" t="inlineStr">
        <is>
          <t>Your command centre. KPI cards and two charts give an instant overview of army progress, painting stages, and status breakdown.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8" customHeight="1">
      <c r="A17" s="3" t="n"/>
      <c r="B17" s="10" t="inlineStr">
        <is>
          <t>DASHBOARD</t>
        </is>
      </c>
      <c r="C17" s="3" t="n"/>
      <c r="D17" s="2" t="n"/>
      <c r="E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20" customHeight="1">
      <c r="A18" s="3" t="n"/>
      <c r="B18" s="3" t="n"/>
      <c r="C18" s="3" t="n"/>
      <c r="D18" s="2" t="n"/>
      <c r="E18" s="6" t="inlineStr">
        <is>
          <t>Getting Started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20" customHeight="1">
      <c r="A19" s="3" t="n"/>
      <c r="B19" s="3" t="n"/>
      <c r="C19" s="3" t="n"/>
      <c r="D19" s="2" t="n"/>
      <c r="E19" s="13" t="inlineStr">
        <is>
          <t>1.</t>
        </is>
      </c>
      <c r="F19" s="14" t="inlineStr">
        <is>
          <t>Open SETUP and fill in your name, army theme, target points size, and painting speed (hrs/model and hrs/week).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20" customHeight="1">
      <c r="A20" s="3" t="n"/>
      <c r="B20" s="3" t="n"/>
      <c r="C20" s="3" t="n"/>
      <c r="D20" s="2" t="n"/>
      <c r="E20" s="13" t="inlineStr">
        <is>
          <t>2.</t>
        </is>
      </c>
      <c r="F20" s="14" t="inlineStr">
        <is>
          <t>Add your units to ARMY ROSTER. Fill in faction, quantity, points per model, and status.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20" customHeight="1">
      <c r="A21" s="3" t="n"/>
      <c r="B21" s="3" t="n"/>
      <c r="C21" s="3" t="n"/>
      <c r="D21" s="2" t="n"/>
      <c r="E21" s="13" t="inlineStr">
        <is>
          <t>3.</t>
        </is>
      </c>
      <c r="F21" s="14" t="inlineStr">
        <is>
          <t>Copy unit names to PAINTING PROGRESS and tick stages (Yes/No) as you complete them.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20" customHeight="1">
      <c r="A22" s="3" t="n"/>
      <c r="B22" s="3" t="n"/>
      <c r="C22" s="3" t="n"/>
      <c r="D22" s="2" t="n"/>
      <c r="E22" s="13" t="inlineStr">
        <is>
          <t>4.</t>
        </is>
      </c>
      <c r="F22" s="14" t="inlineStr">
        <is>
          <t>Log your paints in PAINT INVENTORY. Update Qty Owned and the Status column flags any gaps.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20" customHeight="1">
      <c r="A23" s="3" t="n"/>
      <c r="B23" s="3" t="n"/>
      <c r="C23" s="3" t="n"/>
      <c r="D23" s="2" t="n"/>
      <c r="E23" s="13" t="inlineStr">
        <is>
          <t>5.</t>
        </is>
      </c>
      <c r="F23" s="14" t="inlineStr">
        <is>
          <t>Check PILE OF SHAME when you need motivation — or a dose of reality.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20" customHeight="1">
      <c r="A24" s="3" t="n"/>
      <c r="B24" s="3" t="n"/>
      <c r="C24" s="3" t="n"/>
      <c r="D24" s="2" t="n"/>
      <c r="E24" s="13" t="inlineStr">
        <is>
          <t>6.</t>
        </is>
      </c>
      <c r="F24" s="14" t="inlineStr">
        <is>
          <t>Visit DASHBOARD any time for headline numbers and charts.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6" customHeight="1">
      <c r="A25" s="3" t="n"/>
      <c r="B25" s="3" t="n"/>
      <c r="C25" s="3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20" customHeight="1">
      <c r="A26" s="3" t="n"/>
      <c r="B26" s="3" t="n"/>
      <c r="C26" s="3" t="n"/>
      <c r="D26" s="2" t="n"/>
      <c r="E26" s="15" t="inlineStr">
        <is>
          <t>All yellow cells are user input. Blue cells contain automatic formulas — do not edit them.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6" customHeight="1">
      <c r="A27" s="3" t="n"/>
      <c r="B27" s="3" t="n"/>
      <c r="C27" s="3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3" t="n"/>
      <c r="B28" s="3" t="n"/>
      <c r="C28" s="3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3" t="n"/>
      <c r="B29" s="3" t="n"/>
      <c r="C29" s="3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6" customHeight="1">
      <c r="A30" s="3" t="n"/>
      <c r="B30" s="3" t="n"/>
      <c r="C30" s="3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6" customHeight="1">
      <c r="A31" s="3" t="n"/>
      <c r="B31" s="3" t="n"/>
      <c r="C31" s="3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6" customHeight="1">
      <c r="A32" s="3" t="n"/>
      <c r="B32" s="3" t="n"/>
      <c r="C32" s="3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6" customHeight="1">
      <c r="A33" s="3" t="n"/>
      <c r="B33" s="3" t="n"/>
      <c r="C33" s="3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6" customHeight="1">
      <c r="A34" s="3" t="n"/>
      <c r="B34" s="3" t="n"/>
      <c r="C34" s="3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6" customHeight="1">
      <c r="A35" s="3" t="n"/>
      <c r="B35" s="3" t="n"/>
      <c r="C35" s="3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6" customHeight="1">
      <c r="A36" s="3" t="n"/>
      <c r="B36" s="3" t="n"/>
      <c r="C36" s="3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6" customHeight="1">
      <c r="A37" s="3" t="n"/>
      <c r="B37" s="3" t="n"/>
      <c r="C37" s="3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6" customHeight="1">
      <c r="A38" s="3" t="n"/>
      <c r="B38" s="3" t="n"/>
      <c r="C38" s="3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6" customHeight="1">
      <c r="A39" s="3" t="n"/>
      <c r="B39" s="3" t="n"/>
      <c r="C39" s="3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6" customHeight="1">
      <c r="A40" s="3" t="n"/>
      <c r="B40" s="3" t="n"/>
      <c r="C40" s="3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6" customHeight="1">
      <c r="A41" s="3" t="n"/>
      <c r="B41" s="3" t="n"/>
      <c r="C41" s="3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6" customHeight="1">
      <c r="A42" s="3" t="n"/>
      <c r="B42" s="3" t="n"/>
      <c r="C42" s="3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6" customHeight="1">
      <c r="A43" s="3" t="n"/>
      <c r="B43" s="3" t="n"/>
      <c r="C43" s="3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6" customHeight="1">
      <c r="A44" s="3" t="n"/>
      <c r="B44" s="3" t="n"/>
      <c r="C44" s="3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6" customHeight="1">
      <c r="A45" s="3" t="n"/>
      <c r="B45" s="3" t="n"/>
      <c r="C45" s="3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6" customHeight="1">
      <c r="A46" s="3" t="n"/>
      <c r="B46" s="3" t="n"/>
      <c r="C46" s="3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6" customHeight="1">
      <c r="A47" s="3" t="n"/>
      <c r="B47" s="3" t="n"/>
      <c r="C47" s="3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6" customHeight="1">
      <c r="A48" s="3" t="n"/>
      <c r="B48" s="3" t="n"/>
      <c r="C48" s="3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6" customHeight="1">
      <c r="A49" s="3" t="n"/>
      <c r="B49" s="3" t="n"/>
      <c r="C49" s="3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6" customHeight="1">
      <c r="A50" s="3" t="n"/>
      <c r="B50" s="3" t="n"/>
      <c r="C50" s="3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6" customHeight="1">
      <c r="A51" s="3" t="n"/>
      <c r="B51" s="3" t="n"/>
      <c r="C51" s="3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6" customHeight="1">
      <c r="A52" s="3" t="n"/>
      <c r="B52" s="3" t="n"/>
      <c r="C52" s="3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6" customHeight="1">
      <c r="A53" s="3" t="n"/>
      <c r="B53" s="3" t="n"/>
      <c r="C53" s="3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6" customHeight="1">
      <c r="A54" s="3" t="n"/>
      <c r="B54" s="3" t="n"/>
      <c r="C54" s="3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6" customHeight="1">
      <c r="A55" s="3" t="n"/>
      <c r="B55" s="3" t="n"/>
      <c r="C55" s="3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6" customHeight="1">
      <c r="A56" s="3" t="n"/>
      <c r="B56" s="3" t="n"/>
      <c r="C56" s="3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6" customHeight="1">
      <c r="A57" s="3" t="n"/>
      <c r="B57" s="3" t="n"/>
      <c r="C57" s="3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6" customHeight="1">
      <c r="A58" s="3" t="n"/>
      <c r="B58" s="3" t="n"/>
      <c r="C58" s="3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6" customHeight="1">
      <c r="A59" s="3" t="n"/>
      <c r="B59" s="3" t="n"/>
      <c r="C59" s="3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6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6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6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6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6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6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6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6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6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6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6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6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6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6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6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6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6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6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6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6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6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6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6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6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6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6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6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6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6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6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6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6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6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6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6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6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6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6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6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6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6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</sheetData>
  <mergeCells count="7">
    <mergeCell ref="E6:F7"/>
    <mergeCell ref="F8:F9"/>
    <mergeCell ref="F12:F13"/>
    <mergeCell ref="F16:F17"/>
    <mergeCell ref="E26:F26"/>
    <mergeCell ref="F10:F11"/>
    <mergeCell ref="F14:F15"/>
  </mergeCells>
  <hyperlinks>
    <hyperlink xmlns:r="http://schemas.openxmlformats.org/officeDocument/2006/relationships" ref="B8" r:id="rId1"/>
    <hyperlink xmlns:r="http://schemas.openxmlformats.org/officeDocument/2006/relationships" ref="B11" r:id="rId2"/>
    <hyperlink xmlns:r="http://schemas.openxmlformats.org/officeDocument/2006/relationships" ref="B12" r:id="rId3"/>
    <hyperlink xmlns:r="http://schemas.openxmlformats.org/officeDocument/2006/relationships" ref="B13" r:id="rId4"/>
    <hyperlink xmlns:r="http://schemas.openxmlformats.org/officeDocument/2006/relationships" ref="B16" r:id="rId5"/>
    <hyperlink xmlns:r="http://schemas.openxmlformats.org/officeDocument/2006/relationships" ref="B1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0E8F"/>
    <outlinePr summaryBelow="1" summaryRight="1"/>
    <pageSetUpPr/>
  </sheetPr>
  <dimension ref="A1:AN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28" customWidth="1" min="4" max="4"/>
    <col width="26" customWidth="1" min="5" max="5"/>
    <col width="14" customWidth="1" min="6" max="6"/>
  </cols>
  <sheetData>
    <row r="1" ht="6" customHeight="1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36" customHeight="1">
      <c r="A2" s="3" t="n"/>
      <c r="B2" s="4" t="inlineStr">
        <is>
          <t>WARHAMMER
ARMY TRACKER</t>
        </is>
      </c>
      <c r="C2" s="3" t="n"/>
      <c r="D2" s="5" t="inlineStr">
        <is>
          <t>Setup  —  Your Details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6" customHeight="1">
      <c r="A3" s="3" t="n"/>
      <c r="B3" s="3" t="n"/>
      <c r="C3" s="3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16" customHeight="1">
      <c r="A4" s="3" t="n"/>
      <c r="B4" s="3" t="n"/>
      <c r="C4" s="3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2" customHeight="1">
      <c r="A5" s="3" t="n"/>
      <c r="B5" s="3" t="n"/>
      <c r="C5" s="3" t="n"/>
      <c r="D5" s="16" t="inlineStr">
        <is>
          <t xml:space="preserve">  WARMASTER DETAILS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22" customHeight="1">
      <c r="A6" s="3" t="n"/>
      <c r="B6" s="7" t="inlineStr">
        <is>
          <t>OVERVIEW</t>
        </is>
      </c>
      <c r="C6" s="3" t="n"/>
      <c r="D6" s="17" t="inlineStr">
        <is>
          <t>Your Name / Warmaster Title</t>
        </is>
      </c>
      <c r="E6" s="18" t="inlineStr">
        <is>
          <t>Commander Reinholt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22" customHeight="1">
      <c r="A7" s="3" t="n"/>
      <c r="B7" s="10" t="inlineStr">
        <is>
          <t>INSTRUCTIONS</t>
        </is>
      </c>
      <c r="C7" s="3" t="n"/>
      <c r="D7" s="17" t="inlineStr">
        <is>
          <t>Army Name / Theme</t>
        </is>
      </c>
      <c r="E7" s="18" t="inlineStr">
        <is>
          <t>Sons of Ultramar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22" customHeight="1">
      <c r="A8" s="3" t="n"/>
      <c r="B8" s="9" t="inlineStr">
        <is>
          <t>SETUP</t>
        </is>
      </c>
      <c r="C8" s="3" t="n"/>
      <c r="D8" s="17" t="inlineStr">
        <is>
          <t>Primary Game System</t>
        </is>
      </c>
      <c r="E8" s="18" t="inlineStr">
        <is>
          <t>Warhammer 40,000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22" customHeight="1">
      <c r="A9" s="3" t="n"/>
      <c r="B9" s="3" t="n"/>
      <c r="C9" s="3" t="n"/>
      <c r="D9" s="17" t="inlineStr">
        <is>
          <t>Target Army Size (points)</t>
        </is>
      </c>
      <c r="E9" s="18" t="n">
        <v>2000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22" customHeight="1">
      <c r="A10" s="3" t="n"/>
      <c r="B10" s="7" t="inlineStr">
        <is>
          <t>TRACKING</t>
        </is>
      </c>
      <c r="C10" s="3" t="n"/>
      <c r="D10" s="17" t="inlineStr">
        <is>
          <t>Average Hours Per Model</t>
        </is>
      </c>
      <c r="E10" s="18" t="n">
        <v>1.5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22" customHeight="1">
      <c r="A11" s="3" t="n"/>
      <c r="B11" s="10" t="inlineStr">
        <is>
          <t>ARMY ROSTER</t>
        </is>
      </c>
      <c r="C11" s="3" t="n"/>
      <c r="D11" s="17" t="inlineStr">
        <is>
          <t>Painting Hours Per Week</t>
        </is>
      </c>
      <c r="E11" s="18" t="n">
        <v>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3" t="n"/>
      <c r="B12" s="10" t="inlineStr">
        <is>
          <t>PAINTING</t>
        </is>
      </c>
      <c r="C12" s="3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20" customHeight="1">
      <c r="A13" s="3" t="n"/>
      <c r="B13" s="10" t="inlineStr">
        <is>
          <t>PAINT INV.</t>
        </is>
      </c>
      <c r="C13" s="3" t="n"/>
      <c r="D13" s="19" t="inlineStr">
        <is>
          <t>Tip: Set your target points size (row 9), average hours per model (row 10), and hours you paint per week (row 11). These feed directly into the Pile of Shame calculator.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20" customHeight="1">
      <c r="A14" s="3" t="n"/>
      <c r="B14" s="3" t="n"/>
      <c r="C14" s="3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6" customHeight="1">
      <c r="A15" s="3" t="n"/>
      <c r="B15" s="7" t="inlineStr">
        <is>
          <t>ANALYSIS</t>
        </is>
      </c>
      <c r="C15" s="3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6" customHeight="1">
      <c r="A16" s="3" t="n"/>
      <c r="B16" s="10" t="inlineStr">
        <is>
          <t>PILE OF SHAME</t>
        </is>
      </c>
      <c r="C16" s="3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6" customHeight="1">
      <c r="A17" s="3" t="n"/>
      <c r="B17" s="10" t="inlineStr">
        <is>
          <t>DASHBOARD</t>
        </is>
      </c>
      <c r="C17" s="3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6" customHeight="1">
      <c r="A18" s="3" t="n"/>
      <c r="B18" s="3" t="n"/>
      <c r="C18" s="3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3" t="n"/>
      <c r="B19" s="3" t="n"/>
      <c r="C19" s="3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3" t="n"/>
      <c r="B20" s="3" t="n"/>
      <c r="C20" s="3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6" customHeight="1">
      <c r="A21" s="3" t="n"/>
      <c r="B21" s="3" t="n"/>
      <c r="C21" s="3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6" customHeight="1">
      <c r="A22" s="3" t="n"/>
      <c r="B22" s="3" t="n"/>
      <c r="C22" s="3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6" customHeight="1">
      <c r="A23" s="3" t="n"/>
      <c r="B23" s="3" t="n"/>
      <c r="C23" s="3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6" customHeight="1">
      <c r="A24" s="3" t="n"/>
      <c r="B24" s="3" t="n"/>
      <c r="C24" s="3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6" customHeight="1">
      <c r="A25" s="3" t="n"/>
      <c r="B25" s="3" t="n"/>
      <c r="C25" s="3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6" customHeight="1">
      <c r="A26" s="3" t="n"/>
      <c r="B26" s="3" t="n"/>
      <c r="C26" s="3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6" customHeight="1">
      <c r="A27" s="3" t="n"/>
      <c r="B27" s="3" t="n"/>
      <c r="C27" s="3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3" t="n"/>
      <c r="B28" s="3" t="n"/>
      <c r="C28" s="3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3" t="n"/>
      <c r="B29" s="3" t="n"/>
      <c r="C29" s="3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6" customHeight="1">
      <c r="A30" s="3" t="n"/>
      <c r="B30" s="3" t="n"/>
      <c r="C30" s="3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6" customHeight="1">
      <c r="A31" s="3" t="n"/>
      <c r="B31" s="3" t="n"/>
      <c r="C31" s="3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6" customHeight="1">
      <c r="A32" s="3" t="n"/>
      <c r="B32" s="3" t="n"/>
      <c r="C32" s="3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6" customHeight="1">
      <c r="A33" s="3" t="n"/>
      <c r="B33" s="3" t="n"/>
      <c r="C33" s="3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6" customHeight="1">
      <c r="A34" s="3" t="n"/>
      <c r="B34" s="3" t="n"/>
      <c r="C34" s="3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6" customHeight="1">
      <c r="A35" s="3" t="n"/>
      <c r="B35" s="3" t="n"/>
      <c r="C35" s="3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6" customHeight="1">
      <c r="A36" s="3" t="n"/>
      <c r="B36" s="3" t="n"/>
      <c r="C36" s="3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6" customHeight="1">
      <c r="A37" s="3" t="n"/>
      <c r="B37" s="3" t="n"/>
      <c r="C37" s="3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6" customHeight="1">
      <c r="A38" s="3" t="n"/>
      <c r="B38" s="3" t="n"/>
      <c r="C38" s="3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6" customHeight="1">
      <c r="A39" s="3" t="n"/>
      <c r="B39" s="3" t="n"/>
      <c r="C39" s="3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6" customHeight="1">
      <c r="A40" s="3" t="n"/>
      <c r="B40" s="3" t="n"/>
      <c r="C40" s="3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6" customHeight="1">
      <c r="A41" s="3" t="n"/>
      <c r="B41" s="3" t="n"/>
      <c r="C41" s="3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6" customHeight="1">
      <c r="A42" s="3" t="n"/>
      <c r="B42" s="3" t="n"/>
      <c r="C42" s="3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6" customHeight="1">
      <c r="A43" s="3" t="n"/>
      <c r="B43" s="3" t="n"/>
      <c r="C43" s="3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6" customHeight="1">
      <c r="A44" s="3" t="n"/>
      <c r="B44" s="3" t="n"/>
      <c r="C44" s="3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6" customHeight="1">
      <c r="A45" s="3" t="n"/>
      <c r="B45" s="3" t="n"/>
      <c r="C45" s="3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6" customHeight="1">
      <c r="A46" s="3" t="n"/>
      <c r="B46" s="3" t="n"/>
      <c r="C46" s="3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6" customHeight="1">
      <c r="A47" s="3" t="n"/>
      <c r="B47" s="3" t="n"/>
      <c r="C47" s="3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6" customHeight="1">
      <c r="A48" s="3" t="n"/>
      <c r="B48" s="3" t="n"/>
      <c r="C48" s="3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6" customHeight="1">
      <c r="A49" s="3" t="n"/>
      <c r="B49" s="3" t="n"/>
      <c r="C49" s="3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6" customHeight="1">
      <c r="A50" s="3" t="n"/>
      <c r="B50" s="3" t="n"/>
      <c r="C50" s="3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6" customHeight="1">
      <c r="A51" s="3" t="n"/>
      <c r="B51" s="3" t="n"/>
      <c r="C51" s="3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6" customHeight="1">
      <c r="A52" s="3" t="n"/>
      <c r="B52" s="3" t="n"/>
      <c r="C52" s="3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6" customHeight="1">
      <c r="A53" s="3" t="n"/>
      <c r="B53" s="3" t="n"/>
      <c r="C53" s="3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6" customHeight="1">
      <c r="A54" s="3" t="n"/>
      <c r="B54" s="3" t="n"/>
      <c r="C54" s="3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6" customHeight="1">
      <c r="A55" s="3" t="n"/>
      <c r="B55" s="3" t="n"/>
      <c r="C55" s="3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6" customHeight="1">
      <c r="A56" s="3" t="n"/>
      <c r="B56" s="3" t="n"/>
      <c r="C56" s="3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6" customHeight="1">
      <c r="A57" s="3" t="n"/>
      <c r="B57" s="3" t="n"/>
      <c r="C57" s="3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6" customHeight="1">
      <c r="A58" s="3" t="n"/>
      <c r="B58" s="3" t="n"/>
      <c r="C58" s="3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6" customHeight="1">
      <c r="A59" s="3" t="n"/>
      <c r="B59" s="3" t="n"/>
      <c r="C59" s="3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6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6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6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6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6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6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6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6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6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6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6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6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6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6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6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6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6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6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6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6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6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6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6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6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6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6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6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6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6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6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6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6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6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6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6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6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6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6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6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6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6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</sheetData>
  <mergeCells count="2">
    <mergeCell ref="D13:F14"/>
    <mergeCell ref="D5:F5"/>
  </mergeCells>
  <dataValidations count="1">
    <dataValidation sqref="E8" showDropDown="0" showInputMessage="1" showErrorMessage="1" allowBlank="1" errorTitle="Invalid entry" error="Please select from list" type="list">
      <formula1>"Warhammer 40000,Age of Sigmar,Horus Heresy,The Old World,Kill Team,Other"</formula1>
    </dataValidation>
  </dataValidations>
  <hyperlinks>
    <hyperlink xmlns:r="http://schemas.openxmlformats.org/officeDocument/2006/relationships" ref="B7" r:id="rId1"/>
    <hyperlink xmlns:r="http://schemas.openxmlformats.org/officeDocument/2006/relationships" ref="B11" r:id="rId2"/>
    <hyperlink xmlns:r="http://schemas.openxmlformats.org/officeDocument/2006/relationships" ref="B12" r:id="rId3"/>
    <hyperlink xmlns:r="http://schemas.openxmlformats.org/officeDocument/2006/relationships" ref="B13" r:id="rId4"/>
    <hyperlink xmlns:r="http://schemas.openxmlformats.org/officeDocument/2006/relationships" ref="B16" r:id="rId5"/>
    <hyperlink xmlns:r="http://schemas.openxmlformats.org/officeDocument/2006/relationships" ref="B1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0E8F"/>
    <outlinePr summaryBelow="1" summaryRight="1"/>
    <pageSetUpPr/>
  </sheetPr>
  <dimension ref="A1:AN100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2" customWidth="1" min="4" max="4"/>
    <col width="26" customWidth="1" min="5" max="5"/>
    <col width="20" customWidth="1" min="6" max="6"/>
    <col width="17" customWidth="1" min="7" max="7"/>
    <col width="7" customWidth="1" min="8" max="8"/>
    <col width="12" customWidth="1" min="9" max="9"/>
    <col width="12" customWidth="1" min="10" max="10"/>
    <col width="16" customWidth="1" min="11" max="11"/>
    <col width="26" customWidth="1" min="12" max="12"/>
  </cols>
  <sheetData>
    <row r="1" ht="6" customHeight="1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36" customHeight="1">
      <c r="A2" s="3" t="n"/>
      <c r="B2" s="4" t="inlineStr">
        <is>
          <t>WARHAMMER
ARMY TRACKER</t>
        </is>
      </c>
      <c r="C2" s="3" t="n"/>
      <c r="D2" s="5" t="inlineStr">
        <is>
          <t>Army Roster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6" customHeight="1">
      <c r="A3" s="3" t="n"/>
      <c r="B3" s="3" t="n"/>
      <c r="C3" s="3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22" customHeight="1">
      <c r="A4" s="3" t="n"/>
      <c r="B4" s="3" t="n"/>
      <c r="C4" s="3" t="n"/>
      <c r="D4" s="2" t="n"/>
      <c r="E4" s="16" t="inlineStr">
        <is>
          <t xml:space="preserve">  UNIT REGISTRY</t>
        </is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0" customHeight="1">
      <c r="A5" s="3" t="n"/>
      <c r="B5" s="3" t="n"/>
      <c r="C5" s="3" t="n"/>
      <c r="D5" s="2" t="n"/>
      <c r="E5" s="20" t="inlineStr">
        <is>
          <t>Unit Name</t>
        </is>
      </c>
      <c r="F5" s="20" t="inlineStr">
        <is>
          <t>Faction</t>
        </is>
      </c>
      <c r="G5" s="20" t="inlineStr">
        <is>
          <t>Unit Type</t>
        </is>
      </c>
      <c r="H5" s="20" t="inlineStr">
        <is>
          <t>Qty</t>
        </is>
      </c>
      <c r="I5" s="20" t="inlineStr">
        <is>
          <t>Pts / Model</t>
        </is>
      </c>
      <c r="J5" s="20" t="inlineStr">
        <is>
          <t>Total Pts</t>
        </is>
      </c>
      <c r="K5" s="20" t="inlineStr">
        <is>
          <t>Status</t>
        </is>
      </c>
      <c r="L5" s="20" t="inlineStr">
        <is>
          <t>Notes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8" customHeight="1">
      <c r="A6" s="3" t="n"/>
      <c r="B6" s="7" t="inlineStr">
        <is>
          <t>OVERVIEW</t>
        </is>
      </c>
      <c r="C6" s="3" t="n"/>
      <c r="D6" s="2" t="n"/>
      <c r="E6" s="21" t="inlineStr">
        <is>
          <t>Intercessor Squad</t>
        </is>
      </c>
      <c r="F6" s="21" t="inlineStr">
        <is>
          <t>Space Marines</t>
        </is>
      </c>
      <c r="G6" s="21" t="inlineStr">
        <is>
          <t>Troops</t>
        </is>
      </c>
      <c r="H6" s="22" t="n">
        <v>5</v>
      </c>
      <c r="I6" s="22" t="n">
        <v>20</v>
      </c>
      <c r="J6" s="22">
        <f>H6*I6</f>
        <v/>
      </c>
      <c r="K6" s="21" t="inlineStr">
        <is>
          <t>Complete</t>
        </is>
      </c>
      <c r="L6" s="21" t="inlineStr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8" customHeight="1">
      <c r="A7" s="3" t="n"/>
      <c r="B7" s="10" t="inlineStr">
        <is>
          <t>INSTRUCTIONS</t>
        </is>
      </c>
      <c r="C7" s="3" t="n"/>
      <c r="D7" s="2" t="n"/>
      <c r="E7" s="23" t="inlineStr">
        <is>
          <t>Aggressor Squad</t>
        </is>
      </c>
      <c r="F7" s="23" t="inlineStr">
        <is>
          <t>Space Marines</t>
        </is>
      </c>
      <c r="G7" s="23" t="inlineStr">
        <is>
          <t>Elites</t>
        </is>
      </c>
      <c r="H7" s="24" t="n">
        <v>3</v>
      </c>
      <c r="I7" s="24" t="n">
        <v>45</v>
      </c>
      <c r="J7" s="24">
        <f>H7*I7</f>
        <v/>
      </c>
      <c r="K7" s="23" t="inlineStr">
        <is>
          <t>In Progress</t>
        </is>
      </c>
      <c r="L7" s="23" t="inlineStr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8" customHeight="1">
      <c r="A8" s="3" t="n"/>
      <c r="B8" s="10" t="inlineStr">
        <is>
          <t>SETUP</t>
        </is>
      </c>
      <c r="C8" s="3" t="n"/>
      <c r="D8" s="2" t="n"/>
      <c r="E8" s="21" t="inlineStr">
        <is>
          <t>Assault Intercessors</t>
        </is>
      </c>
      <c r="F8" s="21" t="inlineStr">
        <is>
          <t>Space Marines</t>
        </is>
      </c>
      <c r="G8" s="21" t="inlineStr">
        <is>
          <t>Troops</t>
        </is>
      </c>
      <c r="H8" s="22" t="n">
        <v>10</v>
      </c>
      <c r="I8" s="22" t="n">
        <v>20</v>
      </c>
      <c r="J8" s="22">
        <f>H8*I8</f>
        <v/>
      </c>
      <c r="K8" s="21" t="inlineStr">
        <is>
          <t>Unpainted</t>
        </is>
      </c>
      <c r="L8" s="21" t="inlineStr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8" customHeight="1">
      <c r="A9" s="3" t="n"/>
      <c r="B9" s="3" t="n"/>
      <c r="C9" s="3" t="n"/>
      <c r="D9" s="2" t="n"/>
      <c r="E9" s="23" t="inlineStr">
        <is>
          <t>Primaris Lieutenant</t>
        </is>
      </c>
      <c r="F9" s="23" t="inlineStr">
        <is>
          <t>Space Marines</t>
        </is>
      </c>
      <c r="G9" s="23" t="inlineStr">
        <is>
          <t>HQ</t>
        </is>
      </c>
      <c r="H9" s="24" t="n">
        <v>1</v>
      </c>
      <c r="I9" s="24" t="n">
        <v>65</v>
      </c>
      <c r="J9" s="24">
        <f>H9*I9</f>
        <v/>
      </c>
      <c r="K9" s="23" t="inlineStr">
        <is>
          <t>Complete</t>
        </is>
      </c>
      <c r="L9" s="23" t="inlineStr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8" customHeight="1">
      <c r="A10" s="3" t="n"/>
      <c r="B10" s="7" t="inlineStr">
        <is>
          <t>TRACKING</t>
        </is>
      </c>
      <c r="C10" s="3" t="n"/>
      <c r="D10" s="2" t="n"/>
      <c r="E10" s="21" t="inlineStr">
        <is>
          <t>Repulsor Executioner</t>
        </is>
      </c>
      <c r="F10" s="21" t="inlineStr">
        <is>
          <t>Space Marines</t>
        </is>
      </c>
      <c r="G10" s="21" t="inlineStr">
        <is>
          <t>Heavy Support</t>
        </is>
      </c>
      <c r="H10" s="22" t="n">
        <v>1</v>
      </c>
      <c r="I10" s="22" t="n">
        <v>290</v>
      </c>
      <c r="J10" s="22">
        <f>H10*I10</f>
        <v/>
      </c>
      <c r="K10" s="21" t="inlineStr">
        <is>
          <t>Unpainted</t>
        </is>
      </c>
      <c r="L10" s="21" t="inlineStr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8" customHeight="1">
      <c r="A11" s="3" t="n"/>
      <c r="B11" s="9" t="inlineStr">
        <is>
          <t>ARMY ROSTER</t>
        </is>
      </c>
      <c r="C11" s="3" t="n"/>
      <c r="D11" s="2" t="n"/>
      <c r="E11" s="23" t="inlineStr">
        <is>
          <t>Eliminators</t>
        </is>
      </c>
      <c r="F11" s="23" t="inlineStr">
        <is>
          <t>Space Marines</t>
        </is>
      </c>
      <c r="G11" s="23" t="inlineStr">
        <is>
          <t>Elites</t>
        </is>
      </c>
      <c r="H11" s="24" t="n">
        <v>3</v>
      </c>
      <c r="I11" s="24" t="n">
        <v>25</v>
      </c>
      <c r="J11" s="24">
        <f>H11*I11</f>
        <v/>
      </c>
      <c r="K11" s="23" t="inlineStr">
        <is>
          <t>Assembled</t>
        </is>
      </c>
      <c r="L11" s="23" t="inlineStr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8" customHeight="1">
      <c r="A12" s="3" t="n"/>
      <c r="B12" s="10" t="inlineStr">
        <is>
          <t>PAINTING</t>
        </is>
      </c>
      <c r="C12" s="3" t="n"/>
      <c r="D12" s="2" t="n"/>
      <c r="E12" s="21" t="n"/>
      <c r="F12" s="21" t="n"/>
      <c r="G12" s="21" t="n"/>
      <c r="H12" s="21" t="n"/>
      <c r="I12" s="21" t="n"/>
      <c r="J12" s="22">
        <f>IF(H12="","",H12*I12)</f>
        <v/>
      </c>
      <c r="K12" s="21" t="n"/>
      <c r="L12" s="21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8" customHeight="1">
      <c r="A13" s="3" t="n"/>
      <c r="B13" s="10" t="inlineStr">
        <is>
          <t>PAINT INV.</t>
        </is>
      </c>
      <c r="C13" s="3" t="n"/>
      <c r="D13" s="2" t="n"/>
      <c r="E13" s="23" t="n"/>
      <c r="F13" s="23" t="n"/>
      <c r="G13" s="23" t="n"/>
      <c r="H13" s="23" t="n"/>
      <c r="I13" s="23" t="n"/>
      <c r="J13" s="24">
        <f>IF(H13="","",H13*I13)</f>
        <v/>
      </c>
      <c r="K13" s="23" t="n"/>
      <c r="L13" s="23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8" customHeight="1">
      <c r="A14" s="3" t="n"/>
      <c r="B14" s="3" t="n"/>
      <c r="C14" s="3" t="n"/>
      <c r="D14" s="2" t="n"/>
      <c r="E14" s="21" t="n"/>
      <c r="F14" s="21" t="n"/>
      <c r="G14" s="21" t="n"/>
      <c r="H14" s="21" t="n"/>
      <c r="I14" s="21" t="n"/>
      <c r="J14" s="22">
        <f>IF(H14="","",H14*I14)</f>
        <v/>
      </c>
      <c r="K14" s="21" t="n"/>
      <c r="L14" s="21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8" customHeight="1">
      <c r="A15" s="3" t="n"/>
      <c r="B15" s="7" t="inlineStr">
        <is>
          <t>ANALYSIS</t>
        </is>
      </c>
      <c r="C15" s="3" t="n"/>
      <c r="D15" s="2" t="n"/>
      <c r="E15" s="23" t="n"/>
      <c r="F15" s="23" t="n"/>
      <c r="G15" s="23" t="n"/>
      <c r="H15" s="23" t="n"/>
      <c r="I15" s="23" t="n"/>
      <c r="J15" s="24">
        <f>IF(H15="","",H15*I15)</f>
        <v/>
      </c>
      <c r="K15" s="23" t="n"/>
      <c r="L15" s="23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8" customHeight="1">
      <c r="A16" s="3" t="n"/>
      <c r="B16" s="10" t="inlineStr">
        <is>
          <t>PILE OF SHAME</t>
        </is>
      </c>
      <c r="C16" s="3" t="n"/>
      <c r="D16" s="2" t="n"/>
      <c r="E16" s="21" t="n"/>
      <c r="F16" s="21" t="n"/>
      <c r="G16" s="21" t="n"/>
      <c r="H16" s="21" t="n"/>
      <c r="I16" s="21" t="n"/>
      <c r="J16" s="22">
        <f>IF(H16="","",H16*I16)</f>
        <v/>
      </c>
      <c r="K16" s="21" t="n"/>
      <c r="L16" s="21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8" customHeight="1">
      <c r="A17" s="3" t="n"/>
      <c r="B17" s="10" t="inlineStr">
        <is>
          <t>DASHBOARD</t>
        </is>
      </c>
      <c r="C17" s="3" t="n"/>
      <c r="D17" s="2" t="n"/>
      <c r="E17" s="23" t="n"/>
      <c r="F17" s="23" t="n"/>
      <c r="G17" s="23" t="n"/>
      <c r="H17" s="23" t="n"/>
      <c r="I17" s="23" t="n"/>
      <c r="J17" s="24">
        <f>IF(H17="","",H17*I17)</f>
        <v/>
      </c>
      <c r="K17" s="23" t="n"/>
      <c r="L17" s="23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8" customHeight="1">
      <c r="A18" s="3" t="n"/>
      <c r="B18" s="3" t="n"/>
      <c r="C18" s="3" t="n"/>
      <c r="D18" s="2" t="n"/>
      <c r="E18" s="21" t="n"/>
      <c r="F18" s="21" t="n"/>
      <c r="G18" s="21" t="n"/>
      <c r="H18" s="21" t="n"/>
      <c r="I18" s="21" t="n"/>
      <c r="J18" s="22">
        <f>IF(H18="","",H18*I18)</f>
        <v/>
      </c>
      <c r="K18" s="21" t="n"/>
      <c r="L18" s="21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8" customHeight="1">
      <c r="A19" s="3" t="n"/>
      <c r="B19" s="3" t="n"/>
      <c r="C19" s="3" t="n"/>
      <c r="D19" s="2" t="n"/>
      <c r="E19" s="23" t="n"/>
      <c r="F19" s="23" t="n"/>
      <c r="G19" s="23" t="n"/>
      <c r="H19" s="23" t="n"/>
      <c r="I19" s="23" t="n"/>
      <c r="J19" s="24">
        <f>IF(H19="","",H19*I19)</f>
        <v/>
      </c>
      <c r="K19" s="23" t="n"/>
      <c r="L19" s="23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8" customHeight="1">
      <c r="A20" s="3" t="n"/>
      <c r="B20" s="3" t="n"/>
      <c r="C20" s="3" t="n"/>
      <c r="D20" s="2" t="n"/>
      <c r="E20" s="21" t="n"/>
      <c r="F20" s="21" t="n"/>
      <c r="G20" s="21" t="n"/>
      <c r="H20" s="21" t="n"/>
      <c r="I20" s="21" t="n"/>
      <c r="J20" s="22">
        <f>IF(H20="","",H20*I20)</f>
        <v/>
      </c>
      <c r="K20" s="21" t="n"/>
      <c r="L20" s="21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8" customHeight="1">
      <c r="A21" s="3" t="n"/>
      <c r="B21" s="3" t="n"/>
      <c r="C21" s="3" t="n"/>
      <c r="D21" s="2" t="n"/>
      <c r="E21" s="23" t="n"/>
      <c r="F21" s="23" t="n"/>
      <c r="G21" s="23" t="n"/>
      <c r="H21" s="23" t="n"/>
      <c r="I21" s="23" t="n"/>
      <c r="J21" s="24">
        <f>IF(H21="","",H21*I21)</f>
        <v/>
      </c>
      <c r="K21" s="23" t="n"/>
      <c r="L21" s="23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8" customHeight="1">
      <c r="A22" s="3" t="n"/>
      <c r="B22" s="3" t="n"/>
      <c r="C22" s="3" t="n"/>
      <c r="D22" s="2" t="n"/>
      <c r="E22" s="21" t="n"/>
      <c r="F22" s="21" t="n"/>
      <c r="G22" s="21" t="n"/>
      <c r="H22" s="21" t="n"/>
      <c r="I22" s="21" t="n"/>
      <c r="J22" s="22">
        <f>IF(H22="","",H22*I22)</f>
        <v/>
      </c>
      <c r="K22" s="21" t="n"/>
      <c r="L22" s="21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8" customHeight="1">
      <c r="A23" s="3" t="n"/>
      <c r="B23" s="3" t="n"/>
      <c r="C23" s="3" t="n"/>
      <c r="D23" s="2" t="n"/>
      <c r="E23" s="23" t="n"/>
      <c r="F23" s="23" t="n"/>
      <c r="G23" s="23" t="n"/>
      <c r="H23" s="23" t="n"/>
      <c r="I23" s="23" t="n"/>
      <c r="J23" s="24">
        <f>IF(H23="","",H23*I23)</f>
        <v/>
      </c>
      <c r="K23" s="23" t="n"/>
      <c r="L23" s="23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8" customHeight="1">
      <c r="A24" s="3" t="n"/>
      <c r="B24" s="3" t="n"/>
      <c r="C24" s="3" t="n"/>
      <c r="D24" s="2" t="n"/>
      <c r="E24" s="21" t="n"/>
      <c r="F24" s="21" t="n"/>
      <c r="G24" s="21" t="n"/>
      <c r="H24" s="21" t="n"/>
      <c r="I24" s="21" t="n"/>
      <c r="J24" s="22">
        <f>IF(H24="","",H24*I24)</f>
        <v/>
      </c>
      <c r="K24" s="21" t="n"/>
      <c r="L24" s="21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8" customHeight="1">
      <c r="A25" s="3" t="n"/>
      <c r="B25" s="3" t="n"/>
      <c r="C25" s="3" t="n"/>
      <c r="D25" s="2" t="n"/>
      <c r="E25" s="23" t="n"/>
      <c r="F25" s="23" t="n"/>
      <c r="G25" s="23" t="n"/>
      <c r="H25" s="23" t="n"/>
      <c r="I25" s="23" t="n"/>
      <c r="J25" s="24">
        <f>IF(H25="","",H25*I25)</f>
        <v/>
      </c>
      <c r="K25" s="23" t="n"/>
      <c r="L25" s="23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8" customHeight="1">
      <c r="A26" s="3" t="n"/>
      <c r="B26" s="3" t="n"/>
      <c r="C26" s="3" t="n"/>
      <c r="D26" s="2" t="n"/>
      <c r="E26" s="21" t="n"/>
      <c r="F26" s="21" t="n"/>
      <c r="G26" s="21" t="n"/>
      <c r="H26" s="21" t="n"/>
      <c r="I26" s="21" t="n"/>
      <c r="J26" s="22">
        <f>IF(H26="","",H26*I26)</f>
        <v/>
      </c>
      <c r="K26" s="21" t="n"/>
      <c r="L26" s="21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8" customHeight="1">
      <c r="A27" s="3" t="n"/>
      <c r="B27" s="3" t="n"/>
      <c r="C27" s="3" t="n"/>
      <c r="D27" s="2" t="n"/>
      <c r="E27" s="23" t="n"/>
      <c r="F27" s="23" t="n"/>
      <c r="G27" s="23" t="n"/>
      <c r="H27" s="23" t="n"/>
      <c r="I27" s="23" t="n"/>
      <c r="J27" s="24">
        <f>IF(H27="","",H27*I27)</f>
        <v/>
      </c>
      <c r="K27" s="23" t="n"/>
      <c r="L27" s="23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8" customHeight="1">
      <c r="A28" s="3" t="n"/>
      <c r="B28" s="3" t="n"/>
      <c r="C28" s="3" t="n"/>
      <c r="D28" s="2" t="n"/>
      <c r="E28" s="21" t="n"/>
      <c r="F28" s="21" t="n"/>
      <c r="G28" s="21" t="n"/>
      <c r="H28" s="21" t="n"/>
      <c r="I28" s="21" t="n"/>
      <c r="J28" s="22">
        <f>IF(H28="","",H28*I28)</f>
        <v/>
      </c>
      <c r="K28" s="21" t="n"/>
      <c r="L28" s="21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8" customHeight="1">
      <c r="A29" s="3" t="n"/>
      <c r="B29" s="3" t="n"/>
      <c r="C29" s="3" t="n"/>
      <c r="D29" s="2" t="n"/>
      <c r="E29" s="23" t="n"/>
      <c r="F29" s="23" t="n"/>
      <c r="G29" s="23" t="n"/>
      <c r="H29" s="23" t="n"/>
      <c r="I29" s="23" t="n"/>
      <c r="J29" s="24">
        <f>IF(H29="","",H29*I29)</f>
        <v/>
      </c>
      <c r="K29" s="23" t="n"/>
      <c r="L29" s="23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8" customHeight="1">
      <c r="A30" s="3" t="n"/>
      <c r="B30" s="3" t="n"/>
      <c r="C30" s="3" t="n"/>
      <c r="D30" s="2" t="n"/>
      <c r="E30" s="21" t="n"/>
      <c r="F30" s="21" t="n"/>
      <c r="G30" s="21" t="n"/>
      <c r="H30" s="21" t="n"/>
      <c r="I30" s="21" t="n"/>
      <c r="J30" s="22">
        <f>IF(H30="","",H30*I30)</f>
        <v/>
      </c>
      <c r="K30" s="21" t="n"/>
      <c r="L30" s="21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8" customHeight="1">
      <c r="A31" s="3" t="n"/>
      <c r="B31" s="3" t="n"/>
      <c r="C31" s="3" t="n"/>
      <c r="D31" s="2" t="n"/>
      <c r="E31" s="23" t="n"/>
      <c r="F31" s="23" t="n"/>
      <c r="G31" s="23" t="n"/>
      <c r="H31" s="23" t="n"/>
      <c r="I31" s="23" t="n"/>
      <c r="J31" s="24">
        <f>IF(H31="","",H31*I31)</f>
        <v/>
      </c>
      <c r="K31" s="23" t="n"/>
      <c r="L31" s="23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8" customHeight="1">
      <c r="A32" s="3" t="n"/>
      <c r="B32" s="3" t="n"/>
      <c r="C32" s="3" t="n"/>
      <c r="D32" s="2" t="n"/>
      <c r="E32" s="21" t="n"/>
      <c r="F32" s="21" t="n"/>
      <c r="G32" s="21" t="n"/>
      <c r="H32" s="21" t="n"/>
      <c r="I32" s="21" t="n"/>
      <c r="J32" s="22">
        <f>IF(H32="","",H32*I32)</f>
        <v/>
      </c>
      <c r="K32" s="21" t="n"/>
      <c r="L32" s="21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8" customHeight="1">
      <c r="A33" s="3" t="n"/>
      <c r="B33" s="3" t="n"/>
      <c r="C33" s="3" t="n"/>
      <c r="D33" s="2" t="n"/>
      <c r="E33" s="23" t="n"/>
      <c r="F33" s="23" t="n"/>
      <c r="G33" s="23" t="n"/>
      <c r="H33" s="23" t="n"/>
      <c r="I33" s="23" t="n"/>
      <c r="J33" s="24">
        <f>IF(H33="","",H33*I33)</f>
        <v/>
      </c>
      <c r="K33" s="23" t="n"/>
      <c r="L33" s="23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8" customHeight="1">
      <c r="A34" s="3" t="n"/>
      <c r="B34" s="3" t="n"/>
      <c r="C34" s="3" t="n"/>
      <c r="D34" s="2" t="n"/>
      <c r="E34" s="21" t="n"/>
      <c r="F34" s="21" t="n"/>
      <c r="G34" s="21" t="n"/>
      <c r="H34" s="21" t="n"/>
      <c r="I34" s="21" t="n"/>
      <c r="J34" s="22">
        <f>IF(H34="","",H34*I34)</f>
        <v/>
      </c>
      <c r="K34" s="21" t="n"/>
      <c r="L34" s="21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8" customHeight="1">
      <c r="A35" s="3" t="n"/>
      <c r="B35" s="3" t="n"/>
      <c r="C35" s="3" t="n"/>
      <c r="D35" s="2" t="n"/>
      <c r="E35" s="23" t="n"/>
      <c r="F35" s="23" t="n"/>
      <c r="G35" s="23" t="n"/>
      <c r="H35" s="23" t="n"/>
      <c r="I35" s="23" t="n"/>
      <c r="J35" s="24">
        <f>IF(H35="","",H35*I35)</f>
        <v/>
      </c>
      <c r="K35" s="23" t="n"/>
      <c r="L35" s="23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8" customHeight="1">
      <c r="A36" s="3" t="n"/>
      <c r="B36" s="3" t="n"/>
      <c r="C36" s="3" t="n"/>
      <c r="D36" s="2" t="n"/>
      <c r="E36" s="21" t="n"/>
      <c r="F36" s="21" t="n"/>
      <c r="G36" s="21" t="n"/>
      <c r="H36" s="21" t="n"/>
      <c r="I36" s="21" t="n"/>
      <c r="J36" s="22">
        <f>IF(H36="","",H36*I36)</f>
        <v/>
      </c>
      <c r="K36" s="21" t="n"/>
      <c r="L36" s="21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8" customHeight="1">
      <c r="A37" s="3" t="n"/>
      <c r="B37" s="3" t="n"/>
      <c r="C37" s="3" t="n"/>
      <c r="D37" s="2" t="n"/>
      <c r="E37" s="23" t="n"/>
      <c r="F37" s="23" t="n"/>
      <c r="G37" s="23" t="n"/>
      <c r="H37" s="23" t="n"/>
      <c r="I37" s="23" t="n"/>
      <c r="J37" s="24">
        <f>IF(H37="","",H37*I37)</f>
        <v/>
      </c>
      <c r="K37" s="23" t="n"/>
      <c r="L37" s="23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8" customHeight="1">
      <c r="A38" s="3" t="n"/>
      <c r="B38" s="3" t="n"/>
      <c r="C38" s="3" t="n"/>
      <c r="D38" s="2" t="n"/>
      <c r="E38" s="21" t="n"/>
      <c r="F38" s="21" t="n"/>
      <c r="G38" s="21" t="n"/>
      <c r="H38" s="21" t="n"/>
      <c r="I38" s="21" t="n"/>
      <c r="J38" s="22">
        <f>IF(H38="","",H38*I38)</f>
        <v/>
      </c>
      <c r="K38" s="21" t="n"/>
      <c r="L38" s="21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8" customHeight="1">
      <c r="A39" s="3" t="n"/>
      <c r="B39" s="3" t="n"/>
      <c r="C39" s="3" t="n"/>
      <c r="D39" s="2" t="n"/>
      <c r="E39" s="23" t="n"/>
      <c r="F39" s="23" t="n"/>
      <c r="G39" s="23" t="n"/>
      <c r="H39" s="23" t="n"/>
      <c r="I39" s="23" t="n"/>
      <c r="J39" s="24">
        <f>IF(H39="","",H39*I39)</f>
        <v/>
      </c>
      <c r="K39" s="23" t="n"/>
      <c r="L39" s="23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8" customHeight="1">
      <c r="A40" s="3" t="n"/>
      <c r="B40" s="3" t="n"/>
      <c r="C40" s="3" t="n"/>
      <c r="D40" s="2" t="n"/>
      <c r="E40" s="21" t="n"/>
      <c r="F40" s="21" t="n"/>
      <c r="G40" s="21" t="n"/>
      <c r="H40" s="21" t="n"/>
      <c r="I40" s="21" t="n"/>
      <c r="J40" s="22">
        <f>IF(H40="","",H40*I40)</f>
        <v/>
      </c>
      <c r="K40" s="21" t="n"/>
      <c r="L40" s="21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8" customHeight="1">
      <c r="A41" s="3" t="n"/>
      <c r="B41" s="3" t="n"/>
      <c r="C41" s="3" t="n"/>
      <c r="D41" s="2" t="n"/>
      <c r="E41" s="23" t="n"/>
      <c r="F41" s="23" t="n"/>
      <c r="G41" s="23" t="n"/>
      <c r="H41" s="23" t="n"/>
      <c r="I41" s="23" t="n"/>
      <c r="J41" s="24">
        <f>IF(H41="","",H41*I41)</f>
        <v/>
      </c>
      <c r="K41" s="23" t="n"/>
      <c r="L41" s="23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8" customHeight="1">
      <c r="A42" s="3" t="n"/>
      <c r="B42" s="3" t="n"/>
      <c r="C42" s="3" t="n"/>
      <c r="D42" s="2" t="n"/>
      <c r="E42" s="21" t="n"/>
      <c r="F42" s="21" t="n"/>
      <c r="G42" s="21" t="n"/>
      <c r="H42" s="21" t="n"/>
      <c r="I42" s="21" t="n"/>
      <c r="J42" s="22">
        <f>IF(H42="","",H42*I42)</f>
        <v/>
      </c>
      <c r="K42" s="21" t="n"/>
      <c r="L42" s="21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8" customHeight="1">
      <c r="A43" s="3" t="n"/>
      <c r="B43" s="3" t="n"/>
      <c r="C43" s="3" t="n"/>
      <c r="D43" s="2" t="n"/>
      <c r="E43" s="23" t="n"/>
      <c r="F43" s="23" t="n"/>
      <c r="G43" s="23" t="n"/>
      <c r="H43" s="23" t="n"/>
      <c r="I43" s="23" t="n"/>
      <c r="J43" s="24">
        <f>IF(H43="","",H43*I43)</f>
        <v/>
      </c>
      <c r="K43" s="23" t="n"/>
      <c r="L43" s="23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8" customHeight="1">
      <c r="A44" s="3" t="n"/>
      <c r="B44" s="3" t="n"/>
      <c r="C44" s="3" t="n"/>
      <c r="D44" s="2" t="n"/>
      <c r="E44" s="21" t="n"/>
      <c r="F44" s="21" t="n"/>
      <c r="G44" s="21" t="n"/>
      <c r="H44" s="21" t="n"/>
      <c r="I44" s="21" t="n"/>
      <c r="J44" s="22">
        <f>IF(H44="","",H44*I44)</f>
        <v/>
      </c>
      <c r="K44" s="21" t="n"/>
      <c r="L44" s="21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8" customHeight="1">
      <c r="A45" s="3" t="n"/>
      <c r="B45" s="3" t="n"/>
      <c r="C45" s="3" t="n"/>
      <c r="D45" s="2" t="n"/>
      <c r="E45" s="23" t="n"/>
      <c r="F45" s="23" t="n"/>
      <c r="G45" s="23" t="n"/>
      <c r="H45" s="23" t="n"/>
      <c r="I45" s="23" t="n"/>
      <c r="J45" s="24">
        <f>IF(H45="","",H45*I45)</f>
        <v/>
      </c>
      <c r="K45" s="23" t="n"/>
      <c r="L45" s="23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8" customHeight="1">
      <c r="A46" s="3" t="n"/>
      <c r="B46" s="3" t="n"/>
      <c r="C46" s="3" t="n"/>
      <c r="D46" s="2" t="n"/>
      <c r="E46" s="21" t="n"/>
      <c r="F46" s="21" t="n"/>
      <c r="G46" s="21" t="n"/>
      <c r="H46" s="21" t="n"/>
      <c r="I46" s="21" t="n"/>
      <c r="J46" s="22">
        <f>IF(H46="","",H46*I46)</f>
        <v/>
      </c>
      <c r="K46" s="21" t="n"/>
      <c r="L46" s="21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8" customHeight="1">
      <c r="A47" s="3" t="n"/>
      <c r="B47" s="3" t="n"/>
      <c r="C47" s="3" t="n"/>
      <c r="D47" s="2" t="n"/>
      <c r="E47" s="23" t="n"/>
      <c r="F47" s="23" t="n"/>
      <c r="G47" s="23" t="n"/>
      <c r="H47" s="23" t="n"/>
      <c r="I47" s="23" t="n"/>
      <c r="J47" s="24">
        <f>IF(H47="","",H47*I47)</f>
        <v/>
      </c>
      <c r="K47" s="23" t="n"/>
      <c r="L47" s="23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8" customHeight="1">
      <c r="A48" s="3" t="n"/>
      <c r="B48" s="3" t="n"/>
      <c r="C48" s="3" t="n"/>
      <c r="D48" s="2" t="n"/>
      <c r="E48" s="21" t="n"/>
      <c r="F48" s="21" t="n"/>
      <c r="G48" s="21" t="n"/>
      <c r="H48" s="21" t="n"/>
      <c r="I48" s="21" t="n"/>
      <c r="J48" s="22">
        <f>IF(H48="","",H48*I48)</f>
        <v/>
      </c>
      <c r="K48" s="21" t="n"/>
      <c r="L48" s="21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8" customHeight="1">
      <c r="A49" s="3" t="n"/>
      <c r="B49" s="3" t="n"/>
      <c r="C49" s="3" t="n"/>
      <c r="D49" s="2" t="n"/>
      <c r="E49" s="23" t="n"/>
      <c r="F49" s="23" t="n"/>
      <c r="G49" s="23" t="n"/>
      <c r="H49" s="23" t="n"/>
      <c r="I49" s="23" t="n"/>
      <c r="J49" s="24">
        <f>IF(H49="","",H49*I49)</f>
        <v/>
      </c>
      <c r="K49" s="23" t="n"/>
      <c r="L49" s="23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8" customHeight="1">
      <c r="A50" s="3" t="n"/>
      <c r="B50" s="3" t="n"/>
      <c r="C50" s="3" t="n"/>
      <c r="D50" s="2" t="n"/>
      <c r="E50" s="21" t="n"/>
      <c r="F50" s="21" t="n"/>
      <c r="G50" s="21" t="n"/>
      <c r="H50" s="21" t="n"/>
      <c r="I50" s="21" t="n"/>
      <c r="J50" s="22">
        <f>IF(H50="","",H50*I50)</f>
        <v/>
      </c>
      <c r="K50" s="21" t="n"/>
      <c r="L50" s="21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8" customHeight="1">
      <c r="A51" s="3" t="n"/>
      <c r="B51" s="3" t="n"/>
      <c r="C51" s="3" t="n"/>
      <c r="D51" s="2" t="n"/>
      <c r="E51" s="23" t="n"/>
      <c r="F51" s="23" t="n"/>
      <c r="G51" s="23" t="n"/>
      <c r="H51" s="23" t="n"/>
      <c r="I51" s="23" t="n"/>
      <c r="J51" s="24">
        <f>IF(H51="","",H51*I51)</f>
        <v/>
      </c>
      <c r="K51" s="23" t="n"/>
      <c r="L51" s="23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8" customHeight="1">
      <c r="A52" s="3" t="n"/>
      <c r="B52" s="3" t="n"/>
      <c r="C52" s="3" t="n"/>
      <c r="D52" s="2" t="n"/>
      <c r="E52" s="21" t="n"/>
      <c r="F52" s="21" t="n"/>
      <c r="G52" s="21" t="n"/>
      <c r="H52" s="21" t="n"/>
      <c r="I52" s="21" t="n"/>
      <c r="J52" s="22">
        <f>IF(H52="","",H52*I52)</f>
        <v/>
      </c>
      <c r="K52" s="21" t="n"/>
      <c r="L52" s="21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8" customHeight="1">
      <c r="A53" s="3" t="n"/>
      <c r="B53" s="3" t="n"/>
      <c r="C53" s="3" t="n"/>
      <c r="D53" s="2" t="n"/>
      <c r="E53" s="23" t="n"/>
      <c r="F53" s="23" t="n"/>
      <c r="G53" s="23" t="n"/>
      <c r="H53" s="23" t="n"/>
      <c r="I53" s="23" t="n"/>
      <c r="J53" s="24">
        <f>IF(H53="","",H53*I53)</f>
        <v/>
      </c>
      <c r="K53" s="23" t="n"/>
      <c r="L53" s="23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8" customHeight="1">
      <c r="A54" s="3" t="n"/>
      <c r="B54" s="3" t="n"/>
      <c r="C54" s="3" t="n"/>
      <c r="D54" s="2" t="n"/>
      <c r="E54" s="21" t="n"/>
      <c r="F54" s="21" t="n"/>
      <c r="G54" s="21" t="n"/>
      <c r="H54" s="21" t="n"/>
      <c r="I54" s="21" t="n"/>
      <c r="J54" s="22">
        <f>IF(H54="","",H54*I54)</f>
        <v/>
      </c>
      <c r="K54" s="21" t="n"/>
      <c r="L54" s="21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8" customHeight="1">
      <c r="A55" s="3" t="n"/>
      <c r="B55" s="3" t="n"/>
      <c r="C55" s="3" t="n"/>
      <c r="D55" s="2" t="n"/>
      <c r="E55" s="23" t="n"/>
      <c r="F55" s="23" t="n"/>
      <c r="G55" s="23" t="n"/>
      <c r="H55" s="23" t="n"/>
      <c r="I55" s="23" t="n"/>
      <c r="J55" s="24">
        <f>IF(H55="","",H55*I55)</f>
        <v/>
      </c>
      <c r="K55" s="23" t="n"/>
      <c r="L55" s="23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24" customHeight="1">
      <c r="A56" s="3" t="n"/>
      <c r="B56" s="3" t="n"/>
      <c r="C56" s="3" t="n"/>
      <c r="D56" s="2" t="n"/>
      <c r="E56" s="25" t="inlineStr">
        <is>
          <t>TOTAL ARMY POINTS</t>
        </is>
      </c>
      <c r="J56" s="26">
        <f>SUM(J6:J55)</f>
        <v/>
      </c>
      <c r="K56" s="27" t="n"/>
      <c r="L56" s="27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6" customHeight="1">
      <c r="A57" s="3" t="n"/>
      <c r="B57" s="3" t="n"/>
      <c r="C57" s="3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6" customHeight="1">
      <c r="A58" s="3" t="n"/>
      <c r="B58" s="3" t="n"/>
      <c r="C58" s="3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6" customHeight="1">
      <c r="A59" s="3" t="n"/>
      <c r="B59" s="3" t="n"/>
      <c r="C59" s="3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6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6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6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6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6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6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6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6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6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6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6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6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6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6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6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6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6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6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6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6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6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6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6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6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6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6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6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6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6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6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6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6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6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6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6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6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6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6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6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6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6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</sheetData>
  <mergeCells count="2">
    <mergeCell ref="E4:L4"/>
    <mergeCell ref="E56:I56"/>
  </mergeCells>
  <conditionalFormatting sqref="K6:K55">
    <cfRule type="containsText" priority="1" operator="containsText" dxfId="0" text="Complete">
      <formula>NOT(ISERROR(SEARCH("Complete",K6)))</formula>
    </cfRule>
    <cfRule type="containsText" priority="2" operator="containsText" dxfId="1" text="In Progress">
      <formula>NOT(ISERROR(SEARCH("In Progress",K6)))</formula>
    </cfRule>
    <cfRule type="containsText" priority="3" operator="containsText" dxfId="2" text="Unpainted">
      <formula>NOT(ISERROR(SEARCH("Unpainted",K6)))</formula>
    </cfRule>
    <cfRule type="containsText" priority="4" operator="containsText" dxfId="3" text="Assembled">
      <formula>NOT(ISERROR(SEARCH("Assembled",K6)))</formula>
    </cfRule>
    <cfRule type="containsText" priority="5" operator="containsText" dxfId="4" text="Primed">
      <formula>NOT(ISERROR(SEARCH("Primed",K6)))</formula>
    </cfRule>
  </conditionalFormatting>
  <dataValidations count="2">
    <dataValidation sqref="G6:G55" showDropDown="0" showInputMessage="1" showErrorMessage="1" allowBlank="1" errorTitle="Invalid entry" error="Please select from list" type="list">
      <formula1>"Troops,Elites,Fast Attack,Heavy Support,HQ,Transport,Lord of War,Fortification,Other"</formula1>
    </dataValidation>
    <dataValidation sqref="K6:K55" showDropDown="0" showInputMessage="1" showErrorMessage="1" allowBlank="1" errorTitle="Invalid entry" error="Please select from list" type="list">
      <formula1>"Unpainted,Assembled,Primed,In Progress,Complete"</formula1>
    </dataValidation>
  </dataValidation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12" r:id="rId3"/>
    <hyperlink xmlns:r="http://schemas.openxmlformats.org/officeDocument/2006/relationships" ref="B13" r:id="rId4"/>
    <hyperlink xmlns:r="http://schemas.openxmlformats.org/officeDocument/2006/relationships" ref="B16" r:id="rId5"/>
    <hyperlink xmlns:r="http://schemas.openxmlformats.org/officeDocument/2006/relationships" ref="B1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0E8F"/>
    <outlinePr summaryBelow="1" summaryRight="1"/>
    <pageSetUpPr/>
  </sheetPr>
  <dimension ref="A1:AN100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2" customWidth="1" min="4" max="4"/>
    <col width="24" customWidth="1" min="5" max="5"/>
    <col width="7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</cols>
  <sheetData>
    <row r="1" ht="6" customHeight="1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36" customHeight="1">
      <c r="A2" s="3" t="n"/>
      <c r="B2" s="4" t="inlineStr">
        <is>
          <t>WARHAMMER
ARMY TRACKER</t>
        </is>
      </c>
      <c r="C2" s="3" t="n"/>
      <c r="D2" s="5" t="inlineStr">
        <is>
          <t>Painting Progress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6" customHeight="1">
      <c r="A3" s="3" t="n"/>
      <c r="B3" s="3" t="n"/>
      <c r="C3" s="3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22" customHeight="1">
      <c r="A4" s="3" t="n"/>
      <c r="B4" s="3" t="n"/>
      <c r="C4" s="3" t="n"/>
      <c r="D4" s="2" t="n"/>
      <c r="E4" s="16" t="inlineStr">
        <is>
          <t xml:space="preserve">  PAINTING STAGE TRACKER  —  tick each stage when complete</t>
        </is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0" customHeight="1">
      <c r="A5" s="3" t="n"/>
      <c r="B5" s="3" t="n"/>
      <c r="C5" s="3" t="n"/>
      <c r="D5" s="2" t="n"/>
      <c r="E5" s="20" t="inlineStr">
        <is>
          <t>Unit Name</t>
        </is>
      </c>
      <c r="F5" s="20" t="inlineStr">
        <is>
          <t>Qty</t>
        </is>
      </c>
      <c r="G5" s="20" t="inlineStr">
        <is>
          <t>Assembled</t>
        </is>
      </c>
      <c r="H5" s="20" t="inlineStr">
        <is>
          <t>Primed</t>
        </is>
      </c>
      <c r="I5" s="20" t="inlineStr">
        <is>
          <t>Base Coat</t>
        </is>
      </c>
      <c r="J5" s="20" t="inlineStr">
        <is>
          <t>Highlights</t>
        </is>
      </c>
      <c r="K5" s="20" t="inlineStr">
        <is>
          <t>Washes</t>
        </is>
      </c>
      <c r="L5" s="20" t="inlineStr">
        <is>
          <t>Details</t>
        </is>
      </c>
      <c r="M5" s="20" t="inlineStr">
        <is>
          <t>Basing</t>
        </is>
      </c>
      <c r="N5" s="20" t="inlineStr">
        <is>
          <t>Varnished</t>
        </is>
      </c>
      <c r="O5" s="20" t="inlineStr">
        <is>
          <t>% Done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8" customHeight="1">
      <c r="A6" s="3" t="n"/>
      <c r="B6" s="7" t="inlineStr">
        <is>
          <t>OVERVIEW</t>
        </is>
      </c>
      <c r="C6" s="3" t="n"/>
      <c r="D6" s="2" t="n"/>
      <c r="E6" s="21" t="inlineStr">
        <is>
          <t>Intercessor Squad</t>
        </is>
      </c>
      <c r="F6" s="21" t="n">
        <v>5</v>
      </c>
      <c r="G6" s="22" t="inlineStr">
        <is>
          <t>Yes</t>
        </is>
      </c>
      <c r="H6" s="22" t="inlineStr">
        <is>
          <t>Yes</t>
        </is>
      </c>
      <c r="I6" s="22" t="inlineStr">
        <is>
          <t>Yes</t>
        </is>
      </c>
      <c r="J6" s="22" t="inlineStr">
        <is>
          <t>Yes</t>
        </is>
      </c>
      <c r="K6" s="22" t="inlineStr">
        <is>
          <t>Yes</t>
        </is>
      </c>
      <c r="L6" s="22" t="inlineStr">
        <is>
          <t>Yes</t>
        </is>
      </c>
      <c r="M6" s="22" t="inlineStr">
        <is>
          <t>Yes</t>
        </is>
      </c>
      <c r="N6" s="22" t="inlineStr">
        <is>
          <t>Yes</t>
        </is>
      </c>
      <c r="O6" s="28">
        <f>COUNTIF(G6:N6,"Yes")/8</f>
        <v/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8" customHeight="1">
      <c r="A7" s="3" t="n"/>
      <c r="B7" s="10" t="inlineStr">
        <is>
          <t>INSTRUCTIONS</t>
        </is>
      </c>
      <c r="C7" s="3" t="n"/>
      <c r="D7" s="2" t="n"/>
      <c r="E7" s="23" t="inlineStr">
        <is>
          <t>Aggressor Squad</t>
        </is>
      </c>
      <c r="F7" s="23" t="n">
        <v>3</v>
      </c>
      <c r="G7" s="24" t="inlineStr">
        <is>
          <t>Yes</t>
        </is>
      </c>
      <c r="H7" s="24" t="inlineStr">
        <is>
          <t>Yes</t>
        </is>
      </c>
      <c r="I7" s="24" t="inlineStr">
        <is>
          <t>Yes</t>
        </is>
      </c>
      <c r="J7" s="24" t="inlineStr">
        <is>
          <t>Yes</t>
        </is>
      </c>
      <c r="K7" s="24" t="inlineStr">
        <is>
          <t>No</t>
        </is>
      </c>
      <c r="L7" s="24" t="inlineStr">
        <is>
          <t>No</t>
        </is>
      </c>
      <c r="M7" s="24" t="inlineStr">
        <is>
          <t>No</t>
        </is>
      </c>
      <c r="N7" s="24" t="inlineStr">
        <is>
          <t>No</t>
        </is>
      </c>
      <c r="O7" s="29">
        <f>COUNTIF(G7:N7,"Yes")/8</f>
        <v/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8" customHeight="1">
      <c r="A8" s="3" t="n"/>
      <c r="B8" s="10" t="inlineStr">
        <is>
          <t>SETUP</t>
        </is>
      </c>
      <c r="C8" s="3" t="n"/>
      <c r="D8" s="2" t="n"/>
      <c r="E8" s="21" t="inlineStr">
        <is>
          <t>Assault Intercessors</t>
        </is>
      </c>
      <c r="F8" s="21" t="n">
        <v>10</v>
      </c>
      <c r="G8" s="22" t="inlineStr">
        <is>
          <t>Yes</t>
        </is>
      </c>
      <c r="H8" s="22" t="inlineStr">
        <is>
          <t>No</t>
        </is>
      </c>
      <c r="I8" s="22" t="inlineStr">
        <is>
          <t>No</t>
        </is>
      </c>
      <c r="J8" s="22" t="inlineStr">
        <is>
          <t>No</t>
        </is>
      </c>
      <c r="K8" s="22" t="inlineStr">
        <is>
          <t>No</t>
        </is>
      </c>
      <c r="L8" s="22" t="inlineStr">
        <is>
          <t>No</t>
        </is>
      </c>
      <c r="M8" s="22" t="inlineStr">
        <is>
          <t>No</t>
        </is>
      </c>
      <c r="N8" s="22" t="inlineStr">
        <is>
          <t>No</t>
        </is>
      </c>
      <c r="O8" s="28">
        <f>COUNTIF(G8:N8,"Yes")/8</f>
        <v/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8" customHeight="1">
      <c r="A9" s="3" t="n"/>
      <c r="B9" s="3" t="n"/>
      <c r="C9" s="3" t="n"/>
      <c r="D9" s="2" t="n"/>
      <c r="E9" s="23" t="inlineStr">
        <is>
          <t>Primaris Lieutenant</t>
        </is>
      </c>
      <c r="F9" s="23" t="n">
        <v>1</v>
      </c>
      <c r="G9" s="24" t="inlineStr">
        <is>
          <t>Yes</t>
        </is>
      </c>
      <c r="H9" s="24" t="inlineStr">
        <is>
          <t>Yes</t>
        </is>
      </c>
      <c r="I9" s="24" t="inlineStr">
        <is>
          <t>Yes</t>
        </is>
      </c>
      <c r="J9" s="24" t="inlineStr">
        <is>
          <t>Yes</t>
        </is>
      </c>
      <c r="K9" s="24" t="inlineStr">
        <is>
          <t>Yes</t>
        </is>
      </c>
      <c r="L9" s="24" t="inlineStr">
        <is>
          <t>Yes</t>
        </is>
      </c>
      <c r="M9" s="24" t="inlineStr">
        <is>
          <t>Yes</t>
        </is>
      </c>
      <c r="N9" s="24" t="inlineStr">
        <is>
          <t>Yes</t>
        </is>
      </c>
      <c r="O9" s="29">
        <f>COUNTIF(G9:N9,"Yes")/8</f>
        <v/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8" customHeight="1">
      <c r="A10" s="3" t="n"/>
      <c r="B10" s="7" t="inlineStr">
        <is>
          <t>TRACKING</t>
        </is>
      </c>
      <c r="C10" s="3" t="n"/>
      <c r="D10" s="2" t="n"/>
      <c r="E10" s="21" t="inlineStr">
        <is>
          <t>Repulsor Executioner</t>
        </is>
      </c>
      <c r="F10" s="21" t="n">
        <v>1</v>
      </c>
      <c r="G10" s="22" t="inlineStr">
        <is>
          <t>No</t>
        </is>
      </c>
      <c r="H10" s="22" t="inlineStr">
        <is>
          <t>No</t>
        </is>
      </c>
      <c r="I10" s="22" t="inlineStr">
        <is>
          <t>No</t>
        </is>
      </c>
      <c r="J10" s="22" t="inlineStr">
        <is>
          <t>No</t>
        </is>
      </c>
      <c r="K10" s="22" t="inlineStr">
        <is>
          <t>No</t>
        </is>
      </c>
      <c r="L10" s="22" t="inlineStr">
        <is>
          <t>No</t>
        </is>
      </c>
      <c r="M10" s="22" t="inlineStr">
        <is>
          <t>No</t>
        </is>
      </c>
      <c r="N10" s="22" t="inlineStr">
        <is>
          <t>No</t>
        </is>
      </c>
      <c r="O10" s="28">
        <f>COUNTIF(G10:N10,"Yes")/8</f>
        <v/>
      </c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8" customHeight="1">
      <c r="A11" s="3" t="n"/>
      <c r="B11" s="10" t="inlineStr">
        <is>
          <t>ARMY ROSTER</t>
        </is>
      </c>
      <c r="C11" s="3" t="n"/>
      <c r="D11" s="2" t="n"/>
      <c r="E11" s="23" t="inlineStr">
        <is>
          <t>Eliminators</t>
        </is>
      </c>
      <c r="F11" s="23" t="n">
        <v>3</v>
      </c>
      <c r="G11" s="24" t="inlineStr">
        <is>
          <t>Yes</t>
        </is>
      </c>
      <c r="H11" s="24" t="inlineStr">
        <is>
          <t>Yes</t>
        </is>
      </c>
      <c r="I11" s="24" t="inlineStr">
        <is>
          <t>No</t>
        </is>
      </c>
      <c r="J11" s="24" t="inlineStr">
        <is>
          <t>No</t>
        </is>
      </c>
      <c r="K11" s="24" t="inlineStr">
        <is>
          <t>No</t>
        </is>
      </c>
      <c r="L11" s="24" t="inlineStr">
        <is>
          <t>No</t>
        </is>
      </c>
      <c r="M11" s="24" t="inlineStr">
        <is>
          <t>No</t>
        </is>
      </c>
      <c r="N11" s="24" t="inlineStr">
        <is>
          <t>No</t>
        </is>
      </c>
      <c r="O11" s="29">
        <f>COUNTIF(G11:N11,"Yes")/8</f>
        <v/>
      </c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8" customHeight="1">
      <c r="A12" s="3" t="n"/>
      <c r="B12" s="9" t="inlineStr">
        <is>
          <t>PAINTING</t>
        </is>
      </c>
      <c r="C12" s="3" t="n"/>
      <c r="D12" s="2" t="n"/>
      <c r="E12" s="21" t="n"/>
      <c r="F12" s="21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8">
        <f>IF(COUNTA(G12:N12)=0,"",COUNTIF(G12:N12,"Yes")/8)</f>
        <v/>
      </c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8" customHeight="1">
      <c r="A13" s="3" t="n"/>
      <c r="B13" s="10" t="inlineStr">
        <is>
          <t>PAINT INV.</t>
        </is>
      </c>
      <c r="C13" s="3" t="n"/>
      <c r="D13" s="2" t="n"/>
      <c r="E13" s="23" t="n"/>
      <c r="F13" s="23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9">
        <f>IF(COUNTA(G13:N13)=0,"",COUNTIF(G13:N13,"Yes")/8)</f>
        <v/>
      </c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8" customHeight="1">
      <c r="A14" s="3" t="n"/>
      <c r="B14" s="3" t="n"/>
      <c r="C14" s="3" t="n"/>
      <c r="D14" s="2" t="n"/>
      <c r="E14" s="21" t="n"/>
      <c r="F14" s="21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8">
        <f>IF(COUNTA(G14:N14)=0,"",COUNTIF(G14:N14,"Yes")/8)</f>
        <v/>
      </c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8" customHeight="1">
      <c r="A15" s="3" t="n"/>
      <c r="B15" s="7" t="inlineStr">
        <is>
          <t>ANALYSIS</t>
        </is>
      </c>
      <c r="C15" s="3" t="n"/>
      <c r="D15" s="2" t="n"/>
      <c r="E15" s="23" t="n"/>
      <c r="F15" s="23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9">
        <f>IF(COUNTA(G15:N15)=0,"",COUNTIF(G15:N15,"Yes")/8)</f>
        <v/>
      </c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8" customHeight="1">
      <c r="A16" s="3" t="n"/>
      <c r="B16" s="10" t="inlineStr">
        <is>
          <t>PILE OF SHAME</t>
        </is>
      </c>
      <c r="C16" s="3" t="n"/>
      <c r="D16" s="2" t="n"/>
      <c r="E16" s="21" t="n"/>
      <c r="F16" s="21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8">
        <f>IF(COUNTA(G16:N16)=0,"",COUNTIF(G16:N16,"Yes")/8)</f>
        <v/>
      </c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8" customHeight="1">
      <c r="A17" s="3" t="n"/>
      <c r="B17" s="10" t="inlineStr">
        <is>
          <t>DASHBOARD</t>
        </is>
      </c>
      <c r="C17" s="3" t="n"/>
      <c r="D17" s="2" t="n"/>
      <c r="E17" s="23" t="n"/>
      <c r="F17" s="23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9">
        <f>IF(COUNTA(G17:N17)=0,"",COUNTIF(G17:N17,"Yes")/8)</f>
        <v/>
      </c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8" customHeight="1">
      <c r="A18" s="3" t="n"/>
      <c r="B18" s="3" t="n"/>
      <c r="C18" s="3" t="n"/>
      <c r="D18" s="2" t="n"/>
      <c r="E18" s="21" t="n"/>
      <c r="F18" s="21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8">
        <f>IF(COUNTA(G18:N18)=0,"",COUNTIF(G18:N18,"Yes")/8)</f>
        <v/>
      </c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8" customHeight="1">
      <c r="A19" s="3" t="n"/>
      <c r="B19" s="3" t="n"/>
      <c r="C19" s="3" t="n"/>
      <c r="D19" s="2" t="n"/>
      <c r="E19" s="23" t="n"/>
      <c r="F19" s="23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9">
        <f>IF(COUNTA(G19:N19)=0,"",COUNTIF(G19:N19,"Yes")/8)</f>
        <v/>
      </c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8" customHeight="1">
      <c r="A20" s="3" t="n"/>
      <c r="B20" s="3" t="n"/>
      <c r="C20" s="3" t="n"/>
      <c r="D20" s="2" t="n"/>
      <c r="E20" s="21" t="n"/>
      <c r="F20" s="21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8">
        <f>IF(COUNTA(G20:N20)=0,"",COUNTIF(G20:N20,"Yes")/8)</f>
        <v/>
      </c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8" customHeight="1">
      <c r="A21" s="3" t="n"/>
      <c r="B21" s="3" t="n"/>
      <c r="C21" s="3" t="n"/>
      <c r="D21" s="2" t="n"/>
      <c r="E21" s="23" t="n"/>
      <c r="F21" s="23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9">
        <f>IF(COUNTA(G21:N21)=0,"",COUNTIF(G21:N21,"Yes")/8)</f>
        <v/>
      </c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8" customHeight="1">
      <c r="A22" s="3" t="n"/>
      <c r="B22" s="3" t="n"/>
      <c r="C22" s="3" t="n"/>
      <c r="D22" s="2" t="n"/>
      <c r="E22" s="21" t="n"/>
      <c r="F22" s="21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8">
        <f>IF(COUNTA(G22:N22)=0,"",COUNTIF(G22:N22,"Yes")/8)</f>
        <v/>
      </c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8" customHeight="1">
      <c r="A23" s="3" t="n"/>
      <c r="B23" s="3" t="n"/>
      <c r="C23" s="3" t="n"/>
      <c r="D23" s="2" t="n"/>
      <c r="E23" s="23" t="n"/>
      <c r="F23" s="23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9">
        <f>IF(COUNTA(G23:N23)=0,"",COUNTIF(G23:N23,"Yes")/8)</f>
        <v/>
      </c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8" customHeight="1">
      <c r="A24" s="3" t="n"/>
      <c r="B24" s="3" t="n"/>
      <c r="C24" s="3" t="n"/>
      <c r="D24" s="2" t="n"/>
      <c r="E24" s="21" t="n"/>
      <c r="F24" s="21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8">
        <f>IF(COUNTA(G24:N24)=0,"",COUNTIF(G24:N24,"Yes")/8)</f>
        <v/>
      </c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8" customHeight="1">
      <c r="A25" s="3" t="n"/>
      <c r="B25" s="3" t="n"/>
      <c r="C25" s="3" t="n"/>
      <c r="D25" s="2" t="n"/>
      <c r="E25" s="23" t="n"/>
      <c r="F25" s="23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9">
        <f>IF(COUNTA(G25:N25)=0,"",COUNTIF(G25:N25,"Yes")/8)</f>
        <v/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8" customHeight="1">
      <c r="A26" s="3" t="n"/>
      <c r="B26" s="3" t="n"/>
      <c r="C26" s="3" t="n"/>
      <c r="D26" s="2" t="n"/>
      <c r="E26" s="21" t="n"/>
      <c r="F26" s="21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8">
        <f>IF(COUNTA(G26:N26)=0,"",COUNTIF(G26:N26,"Yes")/8)</f>
        <v/>
      </c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8" customHeight="1">
      <c r="A27" s="3" t="n"/>
      <c r="B27" s="3" t="n"/>
      <c r="C27" s="3" t="n"/>
      <c r="D27" s="2" t="n"/>
      <c r="E27" s="23" t="n"/>
      <c r="F27" s="23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9">
        <f>IF(COUNTA(G27:N27)=0,"",COUNTIF(G27:N27,"Yes")/8)</f>
        <v/>
      </c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8" customHeight="1">
      <c r="A28" s="3" t="n"/>
      <c r="B28" s="3" t="n"/>
      <c r="C28" s="3" t="n"/>
      <c r="D28" s="2" t="n"/>
      <c r="E28" s="21" t="n"/>
      <c r="F28" s="21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8">
        <f>IF(COUNTA(G28:N28)=0,"",COUNTIF(G28:N28,"Yes")/8)</f>
        <v/>
      </c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8" customHeight="1">
      <c r="A29" s="3" t="n"/>
      <c r="B29" s="3" t="n"/>
      <c r="C29" s="3" t="n"/>
      <c r="D29" s="2" t="n"/>
      <c r="E29" s="23" t="n"/>
      <c r="F29" s="23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9">
        <f>IF(COUNTA(G29:N29)=0,"",COUNTIF(G29:N29,"Yes")/8)</f>
        <v/>
      </c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8" customHeight="1">
      <c r="A30" s="3" t="n"/>
      <c r="B30" s="3" t="n"/>
      <c r="C30" s="3" t="n"/>
      <c r="D30" s="2" t="n"/>
      <c r="E30" s="21" t="n"/>
      <c r="F30" s="21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8">
        <f>IF(COUNTA(G30:N30)=0,"",COUNTIF(G30:N30,"Yes")/8)</f>
        <v/>
      </c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8" customHeight="1">
      <c r="A31" s="3" t="n"/>
      <c r="B31" s="3" t="n"/>
      <c r="C31" s="3" t="n"/>
      <c r="D31" s="2" t="n"/>
      <c r="E31" s="23" t="n"/>
      <c r="F31" s="23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9">
        <f>IF(COUNTA(G31:N31)=0,"",COUNTIF(G31:N31,"Yes")/8)</f>
        <v/>
      </c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8" customHeight="1">
      <c r="A32" s="3" t="n"/>
      <c r="B32" s="3" t="n"/>
      <c r="C32" s="3" t="n"/>
      <c r="D32" s="2" t="n"/>
      <c r="E32" s="21" t="n"/>
      <c r="F32" s="21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8">
        <f>IF(COUNTA(G32:N32)=0,"",COUNTIF(G32:N32,"Yes")/8)</f>
        <v/>
      </c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8" customHeight="1">
      <c r="A33" s="3" t="n"/>
      <c r="B33" s="3" t="n"/>
      <c r="C33" s="3" t="n"/>
      <c r="D33" s="2" t="n"/>
      <c r="E33" s="23" t="n"/>
      <c r="F33" s="23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9">
        <f>IF(COUNTA(G33:N33)=0,"",COUNTIF(G33:N33,"Yes")/8)</f>
        <v/>
      </c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8" customHeight="1">
      <c r="A34" s="3" t="n"/>
      <c r="B34" s="3" t="n"/>
      <c r="C34" s="3" t="n"/>
      <c r="D34" s="2" t="n"/>
      <c r="E34" s="21" t="n"/>
      <c r="F34" s="21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8">
        <f>IF(COUNTA(G34:N34)=0,"",COUNTIF(G34:N34,"Yes")/8)</f>
        <v/>
      </c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8" customHeight="1">
      <c r="A35" s="3" t="n"/>
      <c r="B35" s="3" t="n"/>
      <c r="C35" s="3" t="n"/>
      <c r="D35" s="2" t="n"/>
      <c r="E35" s="23" t="n"/>
      <c r="F35" s="23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9">
        <f>IF(COUNTA(G35:N35)=0,"",COUNTIF(G35:N35,"Yes")/8)</f>
        <v/>
      </c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8" customHeight="1">
      <c r="A36" s="3" t="n"/>
      <c r="B36" s="3" t="n"/>
      <c r="C36" s="3" t="n"/>
      <c r="D36" s="2" t="n"/>
      <c r="E36" s="21" t="n"/>
      <c r="F36" s="21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8">
        <f>IF(COUNTA(G36:N36)=0,"",COUNTIF(G36:N36,"Yes")/8)</f>
        <v/>
      </c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8" customHeight="1">
      <c r="A37" s="3" t="n"/>
      <c r="B37" s="3" t="n"/>
      <c r="C37" s="3" t="n"/>
      <c r="D37" s="2" t="n"/>
      <c r="E37" s="23" t="n"/>
      <c r="F37" s="23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9">
        <f>IF(COUNTA(G37:N37)=0,"",COUNTIF(G37:N37,"Yes")/8)</f>
        <v/>
      </c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8" customHeight="1">
      <c r="A38" s="3" t="n"/>
      <c r="B38" s="3" t="n"/>
      <c r="C38" s="3" t="n"/>
      <c r="D38" s="2" t="n"/>
      <c r="E38" s="21" t="n"/>
      <c r="F38" s="21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8">
        <f>IF(COUNTA(G38:N38)=0,"",COUNTIF(G38:N38,"Yes")/8)</f>
        <v/>
      </c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8" customHeight="1">
      <c r="A39" s="3" t="n"/>
      <c r="B39" s="3" t="n"/>
      <c r="C39" s="3" t="n"/>
      <c r="D39" s="2" t="n"/>
      <c r="E39" s="23" t="n"/>
      <c r="F39" s="23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9">
        <f>IF(COUNTA(G39:N39)=0,"",COUNTIF(G39:N39,"Yes")/8)</f>
        <v/>
      </c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8" customHeight="1">
      <c r="A40" s="3" t="n"/>
      <c r="B40" s="3" t="n"/>
      <c r="C40" s="3" t="n"/>
      <c r="D40" s="2" t="n"/>
      <c r="E40" s="21" t="n"/>
      <c r="F40" s="21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8">
        <f>IF(COUNTA(G40:N40)=0,"",COUNTIF(G40:N40,"Yes")/8)</f>
        <v/>
      </c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8" customHeight="1">
      <c r="A41" s="3" t="n"/>
      <c r="B41" s="3" t="n"/>
      <c r="C41" s="3" t="n"/>
      <c r="D41" s="2" t="n"/>
      <c r="E41" s="23" t="n"/>
      <c r="F41" s="23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9">
        <f>IF(COUNTA(G41:N41)=0,"",COUNTIF(G41:N41,"Yes")/8)</f>
        <v/>
      </c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8" customHeight="1">
      <c r="A42" s="3" t="n"/>
      <c r="B42" s="3" t="n"/>
      <c r="C42" s="3" t="n"/>
      <c r="D42" s="2" t="n"/>
      <c r="E42" s="21" t="n"/>
      <c r="F42" s="21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8">
        <f>IF(COUNTA(G42:N42)=0,"",COUNTIF(G42:N42,"Yes")/8)</f>
        <v/>
      </c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8" customHeight="1">
      <c r="A43" s="3" t="n"/>
      <c r="B43" s="3" t="n"/>
      <c r="C43" s="3" t="n"/>
      <c r="D43" s="2" t="n"/>
      <c r="E43" s="23" t="n"/>
      <c r="F43" s="23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9">
        <f>IF(COUNTA(G43:N43)=0,"",COUNTIF(G43:N43,"Yes")/8)</f>
        <v/>
      </c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8" customHeight="1">
      <c r="A44" s="3" t="n"/>
      <c r="B44" s="3" t="n"/>
      <c r="C44" s="3" t="n"/>
      <c r="D44" s="2" t="n"/>
      <c r="E44" s="21" t="n"/>
      <c r="F44" s="21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8">
        <f>IF(COUNTA(G44:N44)=0,"",COUNTIF(G44:N44,"Yes")/8)</f>
        <v/>
      </c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8" customHeight="1">
      <c r="A45" s="3" t="n"/>
      <c r="B45" s="3" t="n"/>
      <c r="C45" s="3" t="n"/>
      <c r="D45" s="2" t="n"/>
      <c r="E45" s="23" t="n"/>
      <c r="F45" s="23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9">
        <f>IF(COUNTA(G45:N45)=0,"",COUNTIF(G45:N45,"Yes")/8)</f>
        <v/>
      </c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8" customHeight="1">
      <c r="A46" s="3" t="n"/>
      <c r="B46" s="3" t="n"/>
      <c r="C46" s="3" t="n"/>
      <c r="D46" s="2" t="n"/>
      <c r="E46" s="21" t="n"/>
      <c r="F46" s="21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8">
        <f>IF(COUNTA(G46:N46)=0,"",COUNTIF(G46:N46,"Yes")/8)</f>
        <v/>
      </c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8" customHeight="1">
      <c r="A47" s="3" t="n"/>
      <c r="B47" s="3" t="n"/>
      <c r="C47" s="3" t="n"/>
      <c r="D47" s="2" t="n"/>
      <c r="E47" s="23" t="n"/>
      <c r="F47" s="23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9">
        <f>IF(COUNTA(G47:N47)=0,"",COUNTIF(G47:N47,"Yes")/8)</f>
        <v/>
      </c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8" customHeight="1">
      <c r="A48" s="3" t="n"/>
      <c r="B48" s="3" t="n"/>
      <c r="C48" s="3" t="n"/>
      <c r="D48" s="2" t="n"/>
      <c r="E48" s="21" t="n"/>
      <c r="F48" s="21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8">
        <f>IF(COUNTA(G48:N48)=0,"",COUNTIF(G48:N48,"Yes")/8)</f>
        <v/>
      </c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8" customHeight="1">
      <c r="A49" s="3" t="n"/>
      <c r="B49" s="3" t="n"/>
      <c r="C49" s="3" t="n"/>
      <c r="D49" s="2" t="n"/>
      <c r="E49" s="23" t="n"/>
      <c r="F49" s="23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9">
        <f>IF(COUNTA(G49:N49)=0,"",COUNTIF(G49:N49,"Yes")/8)</f>
        <v/>
      </c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8" customHeight="1">
      <c r="A50" s="3" t="n"/>
      <c r="B50" s="3" t="n"/>
      <c r="C50" s="3" t="n"/>
      <c r="D50" s="2" t="n"/>
      <c r="E50" s="21" t="n"/>
      <c r="F50" s="21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8">
        <f>IF(COUNTA(G50:N50)=0,"",COUNTIF(G50:N50,"Yes")/8)</f>
        <v/>
      </c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8" customHeight="1">
      <c r="A51" s="3" t="n"/>
      <c r="B51" s="3" t="n"/>
      <c r="C51" s="3" t="n"/>
      <c r="D51" s="2" t="n"/>
      <c r="E51" s="23" t="n"/>
      <c r="F51" s="23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9">
        <f>IF(COUNTA(G51:N51)=0,"",COUNTIF(G51:N51,"Yes")/8)</f>
        <v/>
      </c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8" customHeight="1">
      <c r="A52" s="3" t="n"/>
      <c r="B52" s="3" t="n"/>
      <c r="C52" s="3" t="n"/>
      <c r="D52" s="2" t="n"/>
      <c r="E52" s="21" t="n"/>
      <c r="F52" s="21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8">
        <f>IF(COUNTA(G52:N52)=0,"",COUNTIF(G52:N52,"Yes")/8)</f>
        <v/>
      </c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8" customHeight="1">
      <c r="A53" s="3" t="n"/>
      <c r="B53" s="3" t="n"/>
      <c r="C53" s="3" t="n"/>
      <c r="D53" s="2" t="n"/>
      <c r="E53" s="23" t="n"/>
      <c r="F53" s="23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9">
        <f>IF(COUNTA(G53:N53)=0,"",COUNTIF(G53:N53,"Yes")/8)</f>
        <v/>
      </c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8" customHeight="1">
      <c r="A54" s="3" t="n"/>
      <c r="B54" s="3" t="n"/>
      <c r="C54" s="3" t="n"/>
      <c r="D54" s="2" t="n"/>
      <c r="E54" s="21" t="n"/>
      <c r="F54" s="21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8">
        <f>IF(COUNTA(G54:N54)=0,"",COUNTIF(G54:N54,"Yes")/8)</f>
        <v/>
      </c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8" customHeight="1">
      <c r="A55" s="3" t="n"/>
      <c r="B55" s="3" t="n"/>
      <c r="C55" s="3" t="n"/>
      <c r="D55" s="2" t="n"/>
      <c r="E55" s="23" t="n"/>
      <c r="F55" s="23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9">
        <f>IF(COUNTA(G55:N55)=0,"",COUNTIF(G55:N55,"Yes")/8)</f>
        <v/>
      </c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6" customHeight="1">
      <c r="A56" s="3" t="n"/>
      <c r="B56" s="3" t="n"/>
      <c r="C56" s="3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6" customHeight="1">
      <c r="A57" s="3" t="n"/>
      <c r="B57" s="3" t="n"/>
      <c r="C57" s="3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6" customHeight="1">
      <c r="A58" s="3" t="n"/>
      <c r="B58" s="3" t="n"/>
      <c r="C58" s="3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6" customHeight="1">
      <c r="A59" s="3" t="n"/>
      <c r="B59" s="3" t="n"/>
      <c r="C59" s="3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6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6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6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6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6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6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6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6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6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6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6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6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6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6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6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6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6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6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6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6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6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6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6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6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6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6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6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6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6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6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6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6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6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6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6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6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6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6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6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6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6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</sheetData>
  <mergeCells count="1">
    <mergeCell ref="E4:O4"/>
  </mergeCells>
  <conditionalFormatting sqref="G6:G55">
    <cfRule type="containsText" priority="1" operator="containsText" dxfId="0" text="Yes">
      <formula>NOT(ISERROR(SEARCH("Yes",G6)))</formula>
    </cfRule>
    <cfRule type="containsText" priority="2" operator="containsText" dxfId="2" text="No">
      <formula>NOT(ISERROR(SEARCH("No",G6)))</formula>
    </cfRule>
  </conditionalFormatting>
  <conditionalFormatting sqref="H6:H55">
    <cfRule type="containsText" priority="3" operator="containsText" dxfId="0" text="Yes">
      <formula>NOT(ISERROR(SEARCH("Yes",H6)))</formula>
    </cfRule>
    <cfRule type="containsText" priority="4" operator="containsText" dxfId="2" text="No">
      <formula>NOT(ISERROR(SEARCH("No",H6)))</formula>
    </cfRule>
  </conditionalFormatting>
  <conditionalFormatting sqref="I6:I55">
    <cfRule type="containsText" priority="5" operator="containsText" dxfId="0" text="Yes">
      <formula>NOT(ISERROR(SEARCH("Yes",I6)))</formula>
    </cfRule>
    <cfRule type="containsText" priority="6" operator="containsText" dxfId="2" text="No">
      <formula>NOT(ISERROR(SEARCH("No",I6)))</formula>
    </cfRule>
  </conditionalFormatting>
  <conditionalFormatting sqref="J6:J55">
    <cfRule type="containsText" priority="7" operator="containsText" dxfId="0" text="Yes">
      <formula>NOT(ISERROR(SEARCH("Yes",J6)))</formula>
    </cfRule>
    <cfRule type="containsText" priority="8" operator="containsText" dxfId="2" text="No">
      <formula>NOT(ISERROR(SEARCH("No",J6)))</formula>
    </cfRule>
  </conditionalFormatting>
  <conditionalFormatting sqref="K6:K55">
    <cfRule type="containsText" priority="9" operator="containsText" dxfId="0" text="Yes">
      <formula>NOT(ISERROR(SEARCH("Yes",K6)))</formula>
    </cfRule>
    <cfRule type="containsText" priority="10" operator="containsText" dxfId="2" text="No">
      <formula>NOT(ISERROR(SEARCH("No",K6)))</formula>
    </cfRule>
  </conditionalFormatting>
  <conditionalFormatting sqref="L6:L55">
    <cfRule type="containsText" priority="11" operator="containsText" dxfId="0" text="Yes">
      <formula>NOT(ISERROR(SEARCH("Yes",L6)))</formula>
    </cfRule>
    <cfRule type="containsText" priority="12" operator="containsText" dxfId="2" text="No">
      <formula>NOT(ISERROR(SEARCH("No",L6)))</formula>
    </cfRule>
  </conditionalFormatting>
  <conditionalFormatting sqref="M6:M55">
    <cfRule type="containsText" priority="13" operator="containsText" dxfId="0" text="Yes">
      <formula>NOT(ISERROR(SEARCH("Yes",M6)))</formula>
    </cfRule>
    <cfRule type="containsText" priority="14" operator="containsText" dxfId="2" text="No">
      <formula>NOT(ISERROR(SEARCH("No",M6)))</formula>
    </cfRule>
  </conditionalFormatting>
  <conditionalFormatting sqref="N6:N55">
    <cfRule type="containsText" priority="15" operator="containsText" dxfId="0" text="Yes">
      <formula>NOT(ISERROR(SEARCH("Yes",N6)))</formula>
    </cfRule>
    <cfRule type="containsText" priority="16" operator="containsText" dxfId="2" text="No">
      <formula>NOT(ISERROR(SEARCH("No",N6)))</formula>
    </cfRule>
  </conditionalFormatting>
  <conditionalFormatting sqref="O6:O55">
    <cfRule type="dataBar" priority="17">
      <dataBar>
        <cfvo type="num" val="0"/>
        <cfvo type="num" val="1"/>
        <color rgb="004A0E8F"/>
      </dataBar>
    </cfRule>
  </conditionalFormatting>
  <dataValidations count="8">
    <dataValidation sqref="G6:G55" showDropDown="0" showInputMessage="1" showErrorMessage="1" allowBlank="1" errorTitle="Invalid entry" error="Please select from list" type="list">
      <formula1>"Yes,No"</formula1>
    </dataValidation>
    <dataValidation sqref="H6:H55" showDropDown="0" showInputMessage="1" showErrorMessage="1" allowBlank="1" errorTitle="Invalid entry" error="Please select from list" type="list">
      <formula1>"Yes,No"</formula1>
    </dataValidation>
    <dataValidation sqref="I6:I55" showDropDown="0" showInputMessage="1" showErrorMessage="1" allowBlank="1" errorTitle="Invalid entry" error="Please select from list" type="list">
      <formula1>"Yes,No"</formula1>
    </dataValidation>
    <dataValidation sqref="J6:J55" showDropDown="0" showInputMessage="1" showErrorMessage="1" allowBlank="1" errorTitle="Invalid entry" error="Please select from list" type="list">
      <formula1>"Yes,No"</formula1>
    </dataValidation>
    <dataValidation sqref="K6:K55" showDropDown="0" showInputMessage="1" showErrorMessage="1" allowBlank="1" errorTitle="Invalid entry" error="Please select from list" type="list">
      <formula1>"Yes,No"</formula1>
    </dataValidation>
    <dataValidation sqref="L6:L55" showDropDown="0" showInputMessage="1" showErrorMessage="1" allowBlank="1" errorTitle="Invalid entry" error="Please select from list" type="list">
      <formula1>"Yes,No"</formula1>
    </dataValidation>
    <dataValidation sqref="M6:M55" showDropDown="0" showInputMessage="1" showErrorMessage="1" allowBlank="1" errorTitle="Invalid entry" error="Please select from list" type="list">
      <formula1>"Yes,No"</formula1>
    </dataValidation>
    <dataValidation sqref="N6:N55" showDropDown="0" showInputMessage="1" showErrorMessage="1" allowBlank="1" errorTitle="Invalid entry" error="Please select from list" type="list">
      <formula1>"Yes,No"</formula1>
    </dataValidation>
  </dataValidation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11" r:id="rId3"/>
    <hyperlink xmlns:r="http://schemas.openxmlformats.org/officeDocument/2006/relationships" ref="B13" r:id="rId4"/>
    <hyperlink xmlns:r="http://schemas.openxmlformats.org/officeDocument/2006/relationships" ref="B16" r:id="rId5"/>
    <hyperlink xmlns:r="http://schemas.openxmlformats.org/officeDocument/2006/relationships" ref="B1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0E8F"/>
    <outlinePr summaryBelow="1" summaryRight="1"/>
    <pageSetUpPr/>
  </sheetPr>
  <dimension ref="A1:AN100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2" customWidth="1" min="4" max="4"/>
    <col width="28" customWidth="1" min="5" max="5"/>
    <col width="16" customWidth="1" min="6" max="6"/>
    <col width="16" customWidth="1" min="7" max="7"/>
    <col width="18" customWidth="1" min="8" max="8"/>
    <col width="11" customWidth="1" min="9" max="9"/>
    <col width="14" customWidth="1" min="10" max="10"/>
  </cols>
  <sheetData>
    <row r="1" ht="6" customHeight="1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36" customHeight="1">
      <c r="A2" s="3" t="n"/>
      <c r="B2" s="4" t="inlineStr">
        <is>
          <t>WARHAMMER
ARMY TRACKER</t>
        </is>
      </c>
      <c r="C2" s="3" t="n"/>
      <c r="D2" s="5" t="inlineStr">
        <is>
          <t>Paint Inventory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6" customHeight="1">
      <c r="A3" s="3" t="n"/>
      <c r="B3" s="3" t="n"/>
      <c r="C3" s="3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22" customHeight="1">
      <c r="A4" s="3" t="n"/>
      <c r="B4" s="3" t="n"/>
      <c r="C4" s="3" t="n"/>
      <c r="D4" s="2" t="n"/>
      <c r="E4" s="16" t="inlineStr">
        <is>
          <t xml:space="preserve">  PAINT COLLECTION TRACKER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0" customHeight="1">
      <c r="A5" s="3" t="n"/>
      <c r="B5" s="3" t="n"/>
      <c r="C5" s="3" t="n"/>
      <c r="D5" s="2" t="n"/>
      <c r="E5" s="20" t="inlineStr">
        <is>
          <t>Paint Name</t>
        </is>
      </c>
      <c r="F5" s="20" t="inlineStr">
        <is>
          <t>Brand</t>
        </is>
      </c>
      <c r="G5" s="20" t="inlineStr">
        <is>
          <t>Type</t>
        </is>
      </c>
      <c r="H5" s="20" t="inlineStr">
        <is>
          <t>Colour Family</t>
        </is>
      </c>
      <c r="I5" s="20" t="inlineStr">
        <is>
          <t>Qty Owned</t>
        </is>
      </c>
      <c r="J5" s="20" t="inlineStr">
        <is>
          <t>Status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8" customHeight="1">
      <c r="A6" s="3" t="n"/>
      <c r="B6" s="7" t="inlineStr">
        <is>
          <t>OVERVIEW</t>
        </is>
      </c>
      <c r="C6" s="3" t="n"/>
      <c r="D6" s="2" t="n"/>
      <c r="E6" s="21" t="inlineStr">
        <is>
          <t>Abaddon Black</t>
        </is>
      </c>
      <c r="F6" s="21" t="inlineStr">
        <is>
          <t>Citadel</t>
        </is>
      </c>
      <c r="G6" s="21" t="inlineStr">
        <is>
          <t>Base</t>
        </is>
      </c>
      <c r="H6" s="21" t="inlineStr">
        <is>
          <t>Black</t>
        </is>
      </c>
      <c r="I6" s="22" t="n">
        <v>2</v>
      </c>
      <c r="J6" s="22">
        <f>IF(I6="","",IF(I6&lt;=0,"NEED MORE",IF(I6&lt;=1,"LOW","OK")))</f>
        <v/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8" customHeight="1">
      <c r="A7" s="3" t="n"/>
      <c r="B7" s="10" t="inlineStr">
        <is>
          <t>INSTRUCTIONS</t>
        </is>
      </c>
      <c r="C7" s="3" t="n"/>
      <c r="D7" s="2" t="n"/>
      <c r="E7" s="23" t="inlineStr">
        <is>
          <t>Mechanicus Standard Grey</t>
        </is>
      </c>
      <c r="F7" s="23" t="inlineStr">
        <is>
          <t>Citadel</t>
        </is>
      </c>
      <c r="G7" s="23" t="inlineStr">
        <is>
          <t>Base</t>
        </is>
      </c>
      <c r="H7" s="23" t="inlineStr">
        <is>
          <t>Grey</t>
        </is>
      </c>
      <c r="I7" s="24" t="n">
        <v>1</v>
      </c>
      <c r="J7" s="24">
        <f>IF(I7="","",IF(I7&lt;=0,"NEED MORE",IF(I7&lt;=1,"LOW","OK")))</f>
        <v/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8" customHeight="1">
      <c r="A8" s="3" t="n"/>
      <c r="B8" s="10" t="inlineStr">
        <is>
          <t>SETUP</t>
        </is>
      </c>
      <c r="C8" s="3" t="n"/>
      <c r="D8" s="2" t="n"/>
      <c r="E8" s="21" t="inlineStr">
        <is>
          <t>Macragge Blue</t>
        </is>
      </c>
      <c r="F8" s="21" t="inlineStr">
        <is>
          <t>Citadel</t>
        </is>
      </c>
      <c r="G8" s="21" t="inlineStr">
        <is>
          <t>Base</t>
        </is>
      </c>
      <c r="H8" s="21" t="inlineStr">
        <is>
          <t>Blue</t>
        </is>
      </c>
      <c r="I8" s="22" t="n">
        <v>2</v>
      </c>
      <c r="J8" s="22">
        <f>IF(I8="","",IF(I8&lt;=0,"NEED MORE",IF(I8&lt;=1,"LOW","OK")))</f>
        <v/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8" customHeight="1">
      <c r="A9" s="3" t="n"/>
      <c r="B9" s="3" t="n"/>
      <c r="C9" s="3" t="n"/>
      <c r="D9" s="2" t="n"/>
      <c r="E9" s="23" t="inlineStr">
        <is>
          <t>Retributor Armour</t>
        </is>
      </c>
      <c r="F9" s="23" t="inlineStr">
        <is>
          <t>Citadel</t>
        </is>
      </c>
      <c r="G9" s="23" t="inlineStr">
        <is>
          <t>Base</t>
        </is>
      </c>
      <c r="H9" s="23" t="inlineStr">
        <is>
          <t>Gold</t>
        </is>
      </c>
      <c r="I9" s="24" t="n">
        <v>1</v>
      </c>
      <c r="J9" s="24">
        <f>IF(I9="","",IF(I9&lt;=0,"NEED MORE",IF(I9&lt;=1,"LOW","OK")))</f>
        <v/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8" customHeight="1">
      <c r="A10" s="3" t="n"/>
      <c r="B10" s="7" t="inlineStr">
        <is>
          <t>TRACKING</t>
        </is>
      </c>
      <c r="C10" s="3" t="n"/>
      <c r="D10" s="2" t="n"/>
      <c r="E10" s="21" t="inlineStr">
        <is>
          <t>Nuln Oil</t>
        </is>
      </c>
      <c r="F10" s="21" t="inlineStr">
        <is>
          <t>Citadel</t>
        </is>
      </c>
      <c r="G10" s="21" t="inlineStr">
        <is>
          <t>Shade</t>
        </is>
      </c>
      <c r="H10" s="21" t="inlineStr">
        <is>
          <t>Black</t>
        </is>
      </c>
      <c r="I10" s="22" t="n">
        <v>3</v>
      </c>
      <c r="J10" s="22">
        <f>IF(I10="","",IF(I10&lt;=0,"NEED MORE",IF(I10&lt;=1,"LOW","OK")))</f>
        <v/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8" customHeight="1">
      <c r="A11" s="3" t="n"/>
      <c r="B11" s="10" t="inlineStr">
        <is>
          <t>ARMY ROSTER</t>
        </is>
      </c>
      <c r="C11" s="3" t="n"/>
      <c r="D11" s="2" t="n"/>
      <c r="E11" s="23" t="inlineStr">
        <is>
          <t>Agrax Earthshade</t>
        </is>
      </c>
      <c r="F11" s="23" t="inlineStr">
        <is>
          <t>Citadel</t>
        </is>
      </c>
      <c r="G11" s="23" t="inlineStr">
        <is>
          <t>Shade</t>
        </is>
      </c>
      <c r="H11" s="23" t="inlineStr">
        <is>
          <t>Brown</t>
        </is>
      </c>
      <c r="I11" s="24" t="n">
        <v>2</v>
      </c>
      <c r="J11" s="24">
        <f>IF(I11="","",IF(I11&lt;=0,"NEED MORE",IF(I11&lt;=1,"LOW","OK")))</f>
        <v/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8" customHeight="1">
      <c r="A12" s="3" t="n"/>
      <c r="B12" s="10" t="inlineStr">
        <is>
          <t>PAINTING</t>
        </is>
      </c>
      <c r="C12" s="3" t="n"/>
      <c r="D12" s="2" t="n"/>
      <c r="E12" s="21" t="inlineStr">
        <is>
          <t>Mephiston Red</t>
        </is>
      </c>
      <c r="F12" s="21" t="inlineStr">
        <is>
          <t>Citadel</t>
        </is>
      </c>
      <c r="G12" s="21" t="inlineStr">
        <is>
          <t>Base</t>
        </is>
      </c>
      <c r="H12" s="21" t="inlineStr">
        <is>
          <t>Red</t>
        </is>
      </c>
      <c r="I12" s="22" t="n">
        <v>0</v>
      </c>
      <c r="J12" s="22">
        <f>IF(I12="","",IF(I12&lt;=0,"NEED MORE",IF(I12&lt;=1,"LOW","OK")))</f>
        <v/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8" customHeight="1">
      <c r="A13" s="3" t="n"/>
      <c r="B13" s="9" t="inlineStr">
        <is>
          <t>PAINT INV.</t>
        </is>
      </c>
      <c r="C13" s="3" t="n"/>
      <c r="D13" s="2" t="n"/>
      <c r="E13" s="23" t="inlineStr">
        <is>
          <t>Celestra Grey</t>
        </is>
      </c>
      <c r="F13" s="23" t="inlineStr">
        <is>
          <t>Citadel</t>
        </is>
      </c>
      <c r="G13" s="23" t="inlineStr">
        <is>
          <t>Base</t>
        </is>
      </c>
      <c r="H13" s="23" t="inlineStr">
        <is>
          <t>Grey</t>
        </is>
      </c>
      <c r="I13" s="24" t="n">
        <v>1</v>
      </c>
      <c r="J13" s="24">
        <f>IF(I13="","",IF(I13&lt;=0,"NEED MORE",IF(I13&lt;=1,"LOW","OK")))</f>
        <v/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8" customHeight="1">
      <c r="A14" s="3" t="n"/>
      <c r="B14" s="3" t="n"/>
      <c r="C14" s="3" t="n"/>
      <c r="D14" s="2" t="n"/>
      <c r="E14" s="21" t="inlineStr">
        <is>
          <t>Pallid Wych Flesh</t>
        </is>
      </c>
      <c r="F14" s="21" t="inlineStr">
        <is>
          <t>Citadel</t>
        </is>
      </c>
      <c r="G14" s="21" t="inlineStr">
        <is>
          <t>Layer</t>
        </is>
      </c>
      <c r="H14" s="21" t="inlineStr">
        <is>
          <t>Skin</t>
        </is>
      </c>
      <c r="I14" s="22" t="n">
        <v>1</v>
      </c>
      <c r="J14" s="22">
        <f>IF(I14="","",IF(I14&lt;=0,"NEED MORE",IF(I14&lt;=1,"LOW","OK")))</f>
        <v/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8" customHeight="1">
      <c r="A15" s="3" t="n"/>
      <c r="B15" s="7" t="inlineStr">
        <is>
          <t>ANALYSIS</t>
        </is>
      </c>
      <c r="C15" s="3" t="n"/>
      <c r="D15" s="2" t="n"/>
      <c r="E15" s="23" t="inlineStr">
        <is>
          <t>Balthasar Gold</t>
        </is>
      </c>
      <c r="F15" s="23" t="inlineStr">
        <is>
          <t>Citadel</t>
        </is>
      </c>
      <c r="G15" s="23" t="inlineStr">
        <is>
          <t>Base</t>
        </is>
      </c>
      <c r="H15" s="23" t="inlineStr">
        <is>
          <t>Gold</t>
        </is>
      </c>
      <c r="I15" s="24" t="n">
        <v>0</v>
      </c>
      <c r="J15" s="24">
        <f>IF(I15="","",IF(I15&lt;=0,"NEED MORE",IF(I15&lt;=1,"LOW","OK")))</f>
        <v/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8" customHeight="1">
      <c r="A16" s="3" t="n"/>
      <c r="B16" s="10" t="inlineStr">
        <is>
          <t>PILE OF SHAME</t>
        </is>
      </c>
      <c r="C16" s="3" t="n"/>
      <c r="D16" s="2" t="n"/>
      <c r="E16" s="21" t="inlineStr">
        <is>
          <t>Screaming Bell</t>
        </is>
      </c>
      <c r="F16" s="21" t="inlineStr">
        <is>
          <t>Citadel</t>
        </is>
      </c>
      <c r="G16" s="21" t="inlineStr">
        <is>
          <t>Layer</t>
        </is>
      </c>
      <c r="H16" s="21" t="inlineStr">
        <is>
          <t>Bronze</t>
        </is>
      </c>
      <c r="I16" s="22" t="n">
        <v>2</v>
      </c>
      <c r="J16" s="22">
        <f>IF(I16="","",IF(I16&lt;=0,"NEED MORE",IF(I16&lt;=1,"LOW","OK")))</f>
        <v/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8" customHeight="1">
      <c r="A17" s="3" t="n"/>
      <c r="B17" s="10" t="inlineStr">
        <is>
          <t>DASHBOARD</t>
        </is>
      </c>
      <c r="C17" s="3" t="n"/>
      <c r="D17" s="2" t="n"/>
      <c r="E17" s="23" t="inlineStr">
        <is>
          <t>Bugmans Glow</t>
        </is>
      </c>
      <c r="F17" s="23" t="inlineStr">
        <is>
          <t>Citadel</t>
        </is>
      </c>
      <c r="G17" s="23" t="inlineStr">
        <is>
          <t>Base</t>
        </is>
      </c>
      <c r="H17" s="23" t="inlineStr">
        <is>
          <t>Skin</t>
        </is>
      </c>
      <c r="I17" s="24" t="n">
        <v>1</v>
      </c>
      <c r="J17" s="24">
        <f>IF(I17="","",IF(I17&lt;=0,"NEED MORE",IF(I17&lt;=1,"LOW","OK")))</f>
        <v/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8" customHeight="1">
      <c r="A18" s="3" t="n"/>
      <c r="B18" s="3" t="n"/>
      <c r="C18" s="3" t="n"/>
      <c r="D18" s="2" t="n"/>
      <c r="E18" s="21" t="inlineStr">
        <is>
          <t>Seraphim Sepia</t>
        </is>
      </c>
      <c r="F18" s="21" t="inlineStr">
        <is>
          <t>Citadel</t>
        </is>
      </c>
      <c r="G18" s="21" t="inlineStr">
        <is>
          <t>Shade</t>
        </is>
      </c>
      <c r="H18" s="21" t="inlineStr">
        <is>
          <t>Brown</t>
        </is>
      </c>
      <c r="I18" s="22" t="n">
        <v>1</v>
      </c>
      <c r="J18" s="22">
        <f>IF(I18="","",IF(I18&lt;=0,"NEED MORE",IF(I18&lt;=1,"LOW","OK")))</f>
        <v/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8" customHeight="1">
      <c r="A19" s="3" t="n"/>
      <c r="B19" s="3" t="n"/>
      <c r="C19" s="3" t="n"/>
      <c r="D19" s="2" t="n"/>
      <c r="E19" s="23" t="inlineStr">
        <is>
          <t>Leadbelcher</t>
        </is>
      </c>
      <c r="F19" s="23" t="inlineStr">
        <is>
          <t>Citadel</t>
        </is>
      </c>
      <c r="G19" s="23" t="inlineStr">
        <is>
          <t>Base</t>
        </is>
      </c>
      <c r="H19" s="23" t="inlineStr">
        <is>
          <t>Silver</t>
        </is>
      </c>
      <c r="I19" s="24" t="n">
        <v>2</v>
      </c>
      <c r="J19" s="24">
        <f>IF(I19="","",IF(I19&lt;=0,"NEED MORE",IF(I19&lt;=1,"LOW","OK")))</f>
        <v/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8" customHeight="1">
      <c r="A20" s="3" t="n"/>
      <c r="B20" s="3" t="n"/>
      <c r="C20" s="3" t="n"/>
      <c r="D20" s="2" t="n"/>
      <c r="E20" s="21" t="inlineStr">
        <is>
          <t>Runefang Steel</t>
        </is>
      </c>
      <c r="F20" s="21" t="inlineStr">
        <is>
          <t>Citadel</t>
        </is>
      </c>
      <c r="G20" s="21" t="inlineStr">
        <is>
          <t>Layer</t>
        </is>
      </c>
      <c r="H20" s="21" t="inlineStr">
        <is>
          <t>Silver</t>
        </is>
      </c>
      <c r="I20" s="22" t="n">
        <v>1</v>
      </c>
      <c r="J20" s="22">
        <f>IF(I20="","",IF(I20&lt;=0,"NEED MORE",IF(I20&lt;=1,"LOW","OK")))</f>
        <v/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8" customHeight="1">
      <c r="A21" s="3" t="n"/>
      <c r="B21" s="3" t="n"/>
      <c r="C21" s="3" t="n"/>
      <c r="D21" s="2" t="n"/>
      <c r="E21" s="23" t="n"/>
      <c r="F21" s="23" t="n"/>
      <c r="G21" s="23" t="n"/>
      <c r="H21" s="23" t="n"/>
      <c r="I21" s="24" t="n"/>
      <c r="J21" s="24">
        <f>IF(I21="","",IF(I21&lt;=0,"NEED MORE",IF(I21&lt;=1,"LOW","OK")))</f>
        <v/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8" customHeight="1">
      <c r="A22" s="3" t="n"/>
      <c r="B22" s="3" t="n"/>
      <c r="C22" s="3" t="n"/>
      <c r="D22" s="2" t="n"/>
      <c r="E22" s="21" t="n"/>
      <c r="F22" s="21" t="n"/>
      <c r="G22" s="21" t="n"/>
      <c r="H22" s="21" t="n"/>
      <c r="I22" s="22" t="n"/>
      <c r="J22" s="22">
        <f>IF(I22="","",IF(I22&lt;=0,"NEED MORE",IF(I22&lt;=1,"LOW","OK")))</f>
        <v/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8" customHeight="1">
      <c r="A23" s="3" t="n"/>
      <c r="B23" s="3" t="n"/>
      <c r="C23" s="3" t="n"/>
      <c r="D23" s="2" t="n"/>
      <c r="E23" s="23" t="n"/>
      <c r="F23" s="23" t="n"/>
      <c r="G23" s="23" t="n"/>
      <c r="H23" s="23" t="n"/>
      <c r="I23" s="24" t="n"/>
      <c r="J23" s="24">
        <f>IF(I23="","",IF(I23&lt;=0,"NEED MORE",IF(I23&lt;=1,"LOW","OK")))</f>
        <v/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8" customHeight="1">
      <c r="A24" s="3" t="n"/>
      <c r="B24" s="3" t="n"/>
      <c r="C24" s="3" t="n"/>
      <c r="D24" s="2" t="n"/>
      <c r="E24" s="21" t="n"/>
      <c r="F24" s="21" t="n"/>
      <c r="G24" s="21" t="n"/>
      <c r="H24" s="21" t="n"/>
      <c r="I24" s="22" t="n"/>
      <c r="J24" s="22">
        <f>IF(I24="","",IF(I24&lt;=0,"NEED MORE",IF(I24&lt;=1,"LOW","OK")))</f>
        <v/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8" customHeight="1">
      <c r="A25" s="3" t="n"/>
      <c r="B25" s="3" t="n"/>
      <c r="C25" s="3" t="n"/>
      <c r="D25" s="2" t="n"/>
      <c r="E25" s="23" t="n"/>
      <c r="F25" s="23" t="n"/>
      <c r="G25" s="23" t="n"/>
      <c r="H25" s="23" t="n"/>
      <c r="I25" s="24" t="n"/>
      <c r="J25" s="24">
        <f>IF(I25="","",IF(I25&lt;=0,"NEED MORE",IF(I25&lt;=1,"LOW","OK")))</f>
        <v/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8" customHeight="1">
      <c r="A26" s="3" t="n"/>
      <c r="B26" s="3" t="n"/>
      <c r="C26" s="3" t="n"/>
      <c r="D26" s="2" t="n"/>
      <c r="E26" s="21" t="n"/>
      <c r="F26" s="21" t="n"/>
      <c r="G26" s="21" t="n"/>
      <c r="H26" s="21" t="n"/>
      <c r="I26" s="22" t="n"/>
      <c r="J26" s="22">
        <f>IF(I26="","",IF(I26&lt;=0,"NEED MORE",IF(I26&lt;=1,"LOW","OK")))</f>
        <v/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8" customHeight="1">
      <c r="A27" s="3" t="n"/>
      <c r="B27" s="3" t="n"/>
      <c r="C27" s="3" t="n"/>
      <c r="D27" s="2" t="n"/>
      <c r="E27" s="23" t="n"/>
      <c r="F27" s="23" t="n"/>
      <c r="G27" s="23" t="n"/>
      <c r="H27" s="23" t="n"/>
      <c r="I27" s="24" t="n"/>
      <c r="J27" s="24">
        <f>IF(I27="","",IF(I27&lt;=0,"NEED MORE",IF(I27&lt;=1,"LOW","OK")))</f>
        <v/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8" customHeight="1">
      <c r="A28" s="3" t="n"/>
      <c r="B28" s="3" t="n"/>
      <c r="C28" s="3" t="n"/>
      <c r="D28" s="2" t="n"/>
      <c r="E28" s="21" t="n"/>
      <c r="F28" s="21" t="n"/>
      <c r="G28" s="21" t="n"/>
      <c r="H28" s="21" t="n"/>
      <c r="I28" s="22" t="n"/>
      <c r="J28" s="22">
        <f>IF(I28="","",IF(I28&lt;=0,"NEED MORE",IF(I28&lt;=1,"LOW","OK")))</f>
        <v/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8" customHeight="1">
      <c r="A29" s="3" t="n"/>
      <c r="B29" s="3" t="n"/>
      <c r="C29" s="3" t="n"/>
      <c r="D29" s="2" t="n"/>
      <c r="E29" s="23" t="n"/>
      <c r="F29" s="23" t="n"/>
      <c r="G29" s="23" t="n"/>
      <c r="H29" s="23" t="n"/>
      <c r="I29" s="24" t="n"/>
      <c r="J29" s="24">
        <f>IF(I29="","",IF(I29&lt;=0,"NEED MORE",IF(I29&lt;=1,"LOW","OK")))</f>
        <v/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8" customHeight="1">
      <c r="A30" s="3" t="n"/>
      <c r="B30" s="3" t="n"/>
      <c r="C30" s="3" t="n"/>
      <c r="D30" s="2" t="n"/>
      <c r="E30" s="21" t="n"/>
      <c r="F30" s="21" t="n"/>
      <c r="G30" s="21" t="n"/>
      <c r="H30" s="21" t="n"/>
      <c r="I30" s="22" t="n"/>
      <c r="J30" s="22">
        <f>IF(I30="","",IF(I30&lt;=0,"NEED MORE",IF(I30&lt;=1,"LOW","OK")))</f>
        <v/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8" customHeight="1">
      <c r="A31" s="3" t="n"/>
      <c r="B31" s="3" t="n"/>
      <c r="C31" s="3" t="n"/>
      <c r="D31" s="2" t="n"/>
      <c r="E31" s="23" t="n"/>
      <c r="F31" s="23" t="n"/>
      <c r="G31" s="23" t="n"/>
      <c r="H31" s="23" t="n"/>
      <c r="I31" s="24" t="n"/>
      <c r="J31" s="24">
        <f>IF(I31="","",IF(I31&lt;=0,"NEED MORE",IF(I31&lt;=1,"LOW","OK")))</f>
        <v/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8" customHeight="1">
      <c r="A32" s="3" t="n"/>
      <c r="B32" s="3" t="n"/>
      <c r="C32" s="3" t="n"/>
      <c r="D32" s="2" t="n"/>
      <c r="E32" s="21" t="n"/>
      <c r="F32" s="21" t="n"/>
      <c r="G32" s="21" t="n"/>
      <c r="H32" s="21" t="n"/>
      <c r="I32" s="22" t="n"/>
      <c r="J32" s="22">
        <f>IF(I32="","",IF(I32&lt;=0,"NEED MORE",IF(I32&lt;=1,"LOW","OK")))</f>
        <v/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8" customHeight="1">
      <c r="A33" s="3" t="n"/>
      <c r="B33" s="3" t="n"/>
      <c r="C33" s="3" t="n"/>
      <c r="D33" s="2" t="n"/>
      <c r="E33" s="23" t="n"/>
      <c r="F33" s="23" t="n"/>
      <c r="G33" s="23" t="n"/>
      <c r="H33" s="23" t="n"/>
      <c r="I33" s="24" t="n"/>
      <c r="J33" s="24">
        <f>IF(I33="","",IF(I33&lt;=0,"NEED MORE",IF(I33&lt;=1,"LOW","OK")))</f>
        <v/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8" customHeight="1">
      <c r="A34" s="3" t="n"/>
      <c r="B34" s="3" t="n"/>
      <c r="C34" s="3" t="n"/>
      <c r="D34" s="2" t="n"/>
      <c r="E34" s="21" t="n"/>
      <c r="F34" s="21" t="n"/>
      <c r="G34" s="21" t="n"/>
      <c r="H34" s="21" t="n"/>
      <c r="I34" s="22" t="n"/>
      <c r="J34" s="22">
        <f>IF(I34="","",IF(I34&lt;=0,"NEED MORE",IF(I34&lt;=1,"LOW","OK")))</f>
        <v/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8" customHeight="1">
      <c r="A35" s="3" t="n"/>
      <c r="B35" s="3" t="n"/>
      <c r="C35" s="3" t="n"/>
      <c r="D35" s="2" t="n"/>
      <c r="E35" s="23" t="n"/>
      <c r="F35" s="23" t="n"/>
      <c r="G35" s="23" t="n"/>
      <c r="H35" s="23" t="n"/>
      <c r="I35" s="24" t="n"/>
      <c r="J35" s="24">
        <f>IF(I35="","",IF(I35&lt;=0,"NEED MORE",IF(I35&lt;=1,"LOW","OK")))</f>
        <v/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8" customHeight="1">
      <c r="A36" s="3" t="n"/>
      <c r="B36" s="3" t="n"/>
      <c r="C36" s="3" t="n"/>
      <c r="D36" s="2" t="n"/>
      <c r="E36" s="21" t="n"/>
      <c r="F36" s="21" t="n"/>
      <c r="G36" s="21" t="n"/>
      <c r="H36" s="21" t="n"/>
      <c r="I36" s="22" t="n"/>
      <c r="J36" s="22">
        <f>IF(I36="","",IF(I36&lt;=0,"NEED MORE",IF(I36&lt;=1,"LOW","OK")))</f>
        <v/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8" customHeight="1">
      <c r="A37" s="3" t="n"/>
      <c r="B37" s="3" t="n"/>
      <c r="C37" s="3" t="n"/>
      <c r="D37" s="2" t="n"/>
      <c r="E37" s="23" t="n"/>
      <c r="F37" s="23" t="n"/>
      <c r="G37" s="23" t="n"/>
      <c r="H37" s="23" t="n"/>
      <c r="I37" s="24" t="n"/>
      <c r="J37" s="24">
        <f>IF(I37="","",IF(I37&lt;=0,"NEED MORE",IF(I37&lt;=1,"LOW","OK")))</f>
        <v/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8" customHeight="1">
      <c r="A38" s="3" t="n"/>
      <c r="B38" s="3" t="n"/>
      <c r="C38" s="3" t="n"/>
      <c r="D38" s="2" t="n"/>
      <c r="E38" s="21" t="n"/>
      <c r="F38" s="21" t="n"/>
      <c r="G38" s="21" t="n"/>
      <c r="H38" s="21" t="n"/>
      <c r="I38" s="22" t="n"/>
      <c r="J38" s="22">
        <f>IF(I38="","",IF(I38&lt;=0,"NEED MORE",IF(I38&lt;=1,"LOW","OK")))</f>
        <v/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8" customHeight="1">
      <c r="A39" s="3" t="n"/>
      <c r="B39" s="3" t="n"/>
      <c r="C39" s="3" t="n"/>
      <c r="D39" s="2" t="n"/>
      <c r="E39" s="23" t="n"/>
      <c r="F39" s="23" t="n"/>
      <c r="G39" s="23" t="n"/>
      <c r="H39" s="23" t="n"/>
      <c r="I39" s="24" t="n"/>
      <c r="J39" s="24">
        <f>IF(I39="","",IF(I39&lt;=0,"NEED MORE",IF(I39&lt;=1,"LOW","OK")))</f>
        <v/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8" customHeight="1">
      <c r="A40" s="3" t="n"/>
      <c r="B40" s="3" t="n"/>
      <c r="C40" s="3" t="n"/>
      <c r="D40" s="2" t="n"/>
      <c r="E40" s="21" t="n"/>
      <c r="F40" s="21" t="n"/>
      <c r="G40" s="21" t="n"/>
      <c r="H40" s="21" t="n"/>
      <c r="I40" s="22" t="n"/>
      <c r="J40" s="22">
        <f>IF(I40="","",IF(I40&lt;=0,"NEED MORE",IF(I40&lt;=1,"LOW","OK")))</f>
        <v/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8" customHeight="1">
      <c r="A41" s="3" t="n"/>
      <c r="B41" s="3" t="n"/>
      <c r="C41" s="3" t="n"/>
      <c r="D41" s="2" t="n"/>
      <c r="E41" s="23" t="n"/>
      <c r="F41" s="23" t="n"/>
      <c r="G41" s="23" t="n"/>
      <c r="H41" s="23" t="n"/>
      <c r="I41" s="24" t="n"/>
      <c r="J41" s="24">
        <f>IF(I41="","",IF(I41&lt;=0,"NEED MORE",IF(I41&lt;=1,"LOW","OK")))</f>
        <v/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8" customHeight="1">
      <c r="A42" s="3" t="n"/>
      <c r="B42" s="3" t="n"/>
      <c r="C42" s="3" t="n"/>
      <c r="D42" s="2" t="n"/>
      <c r="E42" s="21" t="n"/>
      <c r="F42" s="21" t="n"/>
      <c r="G42" s="21" t="n"/>
      <c r="H42" s="21" t="n"/>
      <c r="I42" s="22" t="n"/>
      <c r="J42" s="22">
        <f>IF(I42="","",IF(I42&lt;=0,"NEED MORE",IF(I42&lt;=1,"LOW","OK")))</f>
        <v/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8" customHeight="1">
      <c r="A43" s="3" t="n"/>
      <c r="B43" s="3" t="n"/>
      <c r="C43" s="3" t="n"/>
      <c r="D43" s="2" t="n"/>
      <c r="E43" s="23" t="n"/>
      <c r="F43" s="23" t="n"/>
      <c r="G43" s="23" t="n"/>
      <c r="H43" s="23" t="n"/>
      <c r="I43" s="24" t="n"/>
      <c r="J43" s="24">
        <f>IF(I43="","",IF(I43&lt;=0,"NEED MORE",IF(I43&lt;=1,"LOW","OK")))</f>
        <v/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8" customHeight="1">
      <c r="A44" s="3" t="n"/>
      <c r="B44" s="3" t="n"/>
      <c r="C44" s="3" t="n"/>
      <c r="D44" s="2" t="n"/>
      <c r="E44" s="21" t="n"/>
      <c r="F44" s="21" t="n"/>
      <c r="G44" s="21" t="n"/>
      <c r="H44" s="21" t="n"/>
      <c r="I44" s="22" t="n"/>
      <c r="J44" s="22">
        <f>IF(I44="","",IF(I44&lt;=0,"NEED MORE",IF(I44&lt;=1,"LOW","OK")))</f>
        <v/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8" customHeight="1">
      <c r="A45" s="3" t="n"/>
      <c r="B45" s="3" t="n"/>
      <c r="C45" s="3" t="n"/>
      <c r="D45" s="2" t="n"/>
      <c r="E45" s="23" t="n"/>
      <c r="F45" s="23" t="n"/>
      <c r="G45" s="23" t="n"/>
      <c r="H45" s="23" t="n"/>
      <c r="I45" s="24" t="n"/>
      <c r="J45" s="24">
        <f>IF(I45="","",IF(I45&lt;=0,"NEED MORE",IF(I45&lt;=1,"LOW","OK")))</f>
        <v/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8" customHeight="1">
      <c r="A46" s="3" t="n"/>
      <c r="B46" s="3" t="n"/>
      <c r="C46" s="3" t="n"/>
      <c r="D46" s="2" t="n"/>
      <c r="E46" s="21" t="n"/>
      <c r="F46" s="21" t="n"/>
      <c r="G46" s="21" t="n"/>
      <c r="H46" s="21" t="n"/>
      <c r="I46" s="22" t="n"/>
      <c r="J46" s="22">
        <f>IF(I46="","",IF(I46&lt;=0,"NEED MORE",IF(I46&lt;=1,"LOW","OK")))</f>
        <v/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8" customHeight="1">
      <c r="A47" s="3" t="n"/>
      <c r="B47" s="3" t="n"/>
      <c r="C47" s="3" t="n"/>
      <c r="D47" s="2" t="n"/>
      <c r="E47" s="23" t="n"/>
      <c r="F47" s="23" t="n"/>
      <c r="G47" s="23" t="n"/>
      <c r="H47" s="23" t="n"/>
      <c r="I47" s="24" t="n"/>
      <c r="J47" s="24">
        <f>IF(I47="","",IF(I47&lt;=0,"NEED MORE",IF(I47&lt;=1,"LOW","OK")))</f>
        <v/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8" customHeight="1">
      <c r="A48" s="3" t="n"/>
      <c r="B48" s="3" t="n"/>
      <c r="C48" s="3" t="n"/>
      <c r="D48" s="2" t="n"/>
      <c r="E48" s="21" t="n"/>
      <c r="F48" s="21" t="n"/>
      <c r="G48" s="21" t="n"/>
      <c r="H48" s="21" t="n"/>
      <c r="I48" s="22" t="n"/>
      <c r="J48" s="22">
        <f>IF(I48="","",IF(I48&lt;=0,"NEED MORE",IF(I48&lt;=1,"LOW","OK")))</f>
        <v/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8" customHeight="1">
      <c r="A49" s="3" t="n"/>
      <c r="B49" s="3" t="n"/>
      <c r="C49" s="3" t="n"/>
      <c r="D49" s="2" t="n"/>
      <c r="E49" s="23" t="n"/>
      <c r="F49" s="23" t="n"/>
      <c r="G49" s="23" t="n"/>
      <c r="H49" s="23" t="n"/>
      <c r="I49" s="24" t="n"/>
      <c r="J49" s="24">
        <f>IF(I49="","",IF(I49&lt;=0,"NEED MORE",IF(I49&lt;=1,"LOW","OK")))</f>
        <v/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8" customHeight="1">
      <c r="A50" s="3" t="n"/>
      <c r="B50" s="3" t="n"/>
      <c r="C50" s="3" t="n"/>
      <c r="D50" s="2" t="n"/>
      <c r="E50" s="21" t="n"/>
      <c r="F50" s="21" t="n"/>
      <c r="G50" s="21" t="n"/>
      <c r="H50" s="21" t="n"/>
      <c r="I50" s="22" t="n"/>
      <c r="J50" s="22">
        <f>IF(I50="","",IF(I50&lt;=0,"NEED MORE",IF(I50&lt;=1,"LOW","OK")))</f>
        <v/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8" customHeight="1">
      <c r="A51" s="3" t="n"/>
      <c r="B51" s="3" t="n"/>
      <c r="C51" s="3" t="n"/>
      <c r="D51" s="2" t="n"/>
      <c r="E51" s="23" t="n"/>
      <c r="F51" s="23" t="n"/>
      <c r="G51" s="23" t="n"/>
      <c r="H51" s="23" t="n"/>
      <c r="I51" s="24" t="n"/>
      <c r="J51" s="24">
        <f>IF(I51="","",IF(I51&lt;=0,"NEED MORE",IF(I51&lt;=1,"LOW","OK")))</f>
        <v/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8" customHeight="1">
      <c r="A52" s="3" t="n"/>
      <c r="B52" s="3" t="n"/>
      <c r="C52" s="3" t="n"/>
      <c r="D52" s="2" t="n"/>
      <c r="E52" s="21" t="n"/>
      <c r="F52" s="21" t="n"/>
      <c r="G52" s="21" t="n"/>
      <c r="H52" s="21" t="n"/>
      <c r="I52" s="22" t="n"/>
      <c r="J52" s="22">
        <f>IF(I52="","",IF(I52&lt;=0,"NEED MORE",IF(I52&lt;=1,"LOW","OK")))</f>
        <v/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8" customHeight="1">
      <c r="A53" s="3" t="n"/>
      <c r="B53" s="3" t="n"/>
      <c r="C53" s="3" t="n"/>
      <c r="D53" s="2" t="n"/>
      <c r="E53" s="23" t="n"/>
      <c r="F53" s="23" t="n"/>
      <c r="G53" s="23" t="n"/>
      <c r="H53" s="23" t="n"/>
      <c r="I53" s="24" t="n"/>
      <c r="J53" s="24">
        <f>IF(I53="","",IF(I53&lt;=0,"NEED MORE",IF(I53&lt;=1,"LOW","OK")))</f>
        <v/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8" customHeight="1">
      <c r="A54" s="3" t="n"/>
      <c r="B54" s="3" t="n"/>
      <c r="C54" s="3" t="n"/>
      <c r="D54" s="2" t="n"/>
      <c r="E54" s="21" t="n"/>
      <c r="F54" s="21" t="n"/>
      <c r="G54" s="21" t="n"/>
      <c r="H54" s="21" t="n"/>
      <c r="I54" s="22" t="n"/>
      <c r="J54" s="22">
        <f>IF(I54="","",IF(I54&lt;=0,"NEED MORE",IF(I54&lt;=1,"LOW","OK")))</f>
        <v/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8" customHeight="1">
      <c r="A55" s="3" t="n"/>
      <c r="B55" s="3" t="n"/>
      <c r="C55" s="3" t="n"/>
      <c r="D55" s="2" t="n"/>
      <c r="E55" s="23" t="n"/>
      <c r="F55" s="23" t="n"/>
      <c r="G55" s="23" t="n"/>
      <c r="H55" s="23" t="n"/>
      <c r="I55" s="24" t="n"/>
      <c r="J55" s="24">
        <f>IF(I55="","",IF(I55&lt;=0,"NEED MORE",IF(I55&lt;=1,"LOW","OK")))</f>
        <v/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8" customHeight="1">
      <c r="A56" s="3" t="n"/>
      <c r="B56" s="3" t="n"/>
      <c r="C56" s="3" t="n"/>
      <c r="D56" s="2" t="n"/>
      <c r="E56" s="21" t="n"/>
      <c r="F56" s="21" t="n"/>
      <c r="G56" s="21" t="n"/>
      <c r="H56" s="21" t="n"/>
      <c r="I56" s="22" t="n"/>
      <c r="J56" s="22">
        <f>IF(I56="","",IF(I56&lt;=0,"NEED MORE",IF(I56&lt;=1,"LOW","OK")))</f>
        <v/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8" customHeight="1">
      <c r="A57" s="3" t="n"/>
      <c r="B57" s="3" t="n"/>
      <c r="C57" s="3" t="n"/>
      <c r="D57" s="2" t="n"/>
      <c r="E57" s="23" t="n"/>
      <c r="F57" s="23" t="n"/>
      <c r="G57" s="23" t="n"/>
      <c r="H57" s="23" t="n"/>
      <c r="I57" s="24" t="n"/>
      <c r="J57" s="24">
        <f>IF(I57="","",IF(I57&lt;=0,"NEED MORE",IF(I57&lt;=1,"LOW","OK")))</f>
        <v/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8" customHeight="1">
      <c r="A58" s="3" t="n"/>
      <c r="B58" s="3" t="n"/>
      <c r="C58" s="3" t="n"/>
      <c r="D58" s="2" t="n"/>
      <c r="E58" s="21" t="n"/>
      <c r="F58" s="21" t="n"/>
      <c r="G58" s="21" t="n"/>
      <c r="H58" s="21" t="n"/>
      <c r="I58" s="22" t="n"/>
      <c r="J58" s="22">
        <f>IF(I58="","",IF(I58&lt;=0,"NEED MORE",IF(I58&lt;=1,"LOW","OK")))</f>
        <v/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8" customHeight="1">
      <c r="A59" s="3" t="n"/>
      <c r="B59" s="3" t="n"/>
      <c r="C59" s="3" t="n"/>
      <c r="D59" s="2" t="n"/>
      <c r="E59" s="23" t="n"/>
      <c r="F59" s="23" t="n"/>
      <c r="G59" s="23" t="n"/>
      <c r="H59" s="23" t="n"/>
      <c r="I59" s="24" t="n"/>
      <c r="J59" s="24">
        <f>IF(I59="","",IF(I59&lt;=0,"NEED MORE",IF(I59&lt;=1,"LOW","OK")))</f>
        <v/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8" customHeight="1">
      <c r="A60" s="2" t="n"/>
      <c r="B60" s="2" t="n"/>
      <c r="C60" s="2" t="n"/>
      <c r="D60" s="2" t="n"/>
      <c r="E60" s="21" t="n"/>
      <c r="F60" s="21" t="n"/>
      <c r="G60" s="21" t="n"/>
      <c r="H60" s="21" t="n"/>
      <c r="I60" s="22" t="n"/>
      <c r="J60" s="22">
        <f>IF(I60="","",IF(I60&lt;=0,"NEED MORE",IF(I60&lt;=1,"LOW","OK")))</f>
        <v/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8" customHeight="1">
      <c r="A61" s="2" t="n"/>
      <c r="B61" s="2" t="n"/>
      <c r="C61" s="2" t="n"/>
      <c r="D61" s="2" t="n"/>
      <c r="E61" s="23" t="n"/>
      <c r="F61" s="23" t="n"/>
      <c r="G61" s="23" t="n"/>
      <c r="H61" s="23" t="n"/>
      <c r="I61" s="24" t="n"/>
      <c r="J61" s="24">
        <f>IF(I61="","",IF(I61&lt;=0,"NEED MORE",IF(I61&lt;=1,"LOW","OK")))</f>
        <v/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8" customHeight="1">
      <c r="A62" s="2" t="n"/>
      <c r="B62" s="2" t="n"/>
      <c r="C62" s="2" t="n"/>
      <c r="D62" s="2" t="n"/>
      <c r="E62" s="21" t="n"/>
      <c r="F62" s="21" t="n"/>
      <c r="G62" s="21" t="n"/>
      <c r="H62" s="21" t="n"/>
      <c r="I62" s="22" t="n"/>
      <c r="J62" s="22">
        <f>IF(I62="","",IF(I62&lt;=0,"NEED MORE",IF(I62&lt;=1,"LOW","OK")))</f>
        <v/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8" customHeight="1">
      <c r="A63" s="2" t="n"/>
      <c r="B63" s="2" t="n"/>
      <c r="C63" s="2" t="n"/>
      <c r="D63" s="2" t="n"/>
      <c r="E63" s="23" t="n"/>
      <c r="F63" s="23" t="n"/>
      <c r="G63" s="23" t="n"/>
      <c r="H63" s="23" t="n"/>
      <c r="I63" s="24" t="n"/>
      <c r="J63" s="24">
        <f>IF(I63="","",IF(I63&lt;=0,"NEED MORE",IF(I63&lt;=1,"LOW","OK")))</f>
        <v/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8" customHeight="1">
      <c r="A64" s="2" t="n"/>
      <c r="B64" s="2" t="n"/>
      <c r="C64" s="2" t="n"/>
      <c r="D64" s="2" t="n"/>
      <c r="E64" s="21" t="n"/>
      <c r="F64" s="21" t="n"/>
      <c r="G64" s="21" t="n"/>
      <c r="H64" s="21" t="n"/>
      <c r="I64" s="22" t="n"/>
      <c r="J64" s="22">
        <f>IF(I64="","",IF(I64&lt;=0,"NEED MORE",IF(I64&lt;=1,"LOW","OK")))</f>
        <v/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8" customHeight="1">
      <c r="A65" s="2" t="n"/>
      <c r="B65" s="2" t="n"/>
      <c r="C65" s="2" t="n"/>
      <c r="D65" s="2" t="n"/>
      <c r="E65" s="23" t="n"/>
      <c r="F65" s="23" t="n"/>
      <c r="G65" s="23" t="n"/>
      <c r="H65" s="23" t="n"/>
      <c r="I65" s="24" t="n"/>
      <c r="J65" s="24">
        <f>IF(I65="","",IF(I65&lt;=0,"NEED MORE",IF(I65&lt;=1,"LOW","OK")))</f>
        <v/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8" customHeight="1">
      <c r="A66" s="2" t="n"/>
      <c r="B66" s="2" t="n"/>
      <c r="C66" s="2" t="n"/>
      <c r="D66" s="2" t="n"/>
      <c r="E66" s="21" t="n"/>
      <c r="F66" s="21" t="n"/>
      <c r="G66" s="21" t="n"/>
      <c r="H66" s="21" t="n"/>
      <c r="I66" s="22" t="n"/>
      <c r="J66" s="22">
        <f>IF(I66="","",IF(I66&lt;=0,"NEED MORE",IF(I66&lt;=1,"LOW","OK")))</f>
        <v/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8" customHeight="1">
      <c r="A67" s="2" t="n"/>
      <c r="B67" s="2" t="n"/>
      <c r="C67" s="2" t="n"/>
      <c r="D67" s="2" t="n"/>
      <c r="E67" s="23" t="n"/>
      <c r="F67" s="23" t="n"/>
      <c r="G67" s="23" t="n"/>
      <c r="H67" s="23" t="n"/>
      <c r="I67" s="24" t="n"/>
      <c r="J67" s="24">
        <f>IF(I67="","",IF(I67&lt;=0,"NEED MORE",IF(I67&lt;=1,"LOW","OK")))</f>
        <v/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8" customHeight="1">
      <c r="A68" s="2" t="n"/>
      <c r="B68" s="2" t="n"/>
      <c r="C68" s="2" t="n"/>
      <c r="D68" s="2" t="n"/>
      <c r="E68" s="21" t="n"/>
      <c r="F68" s="21" t="n"/>
      <c r="G68" s="21" t="n"/>
      <c r="H68" s="21" t="n"/>
      <c r="I68" s="22" t="n"/>
      <c r="J68" s="22">
        <f>IF(I68="","",IF(I68&lt;=0,"NEED MORE",IF(I68&lt;=1,"LOW","OK")))</f>
        <v/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8" customHeight="1">
      <c r="A69" s="2" t="n"/>
      <c r="B69" s="2" t="n"/>
      <c r="C69" s="2" t="n"/>
      <c r="D69" s="2" t="n"/>
      <c r="E69" s="23" t="n"/>
      <c r="F69" s="23" t="n"/>
      <c r="G69" s="23" t="n"/>
      <c r="H69" s="23" t="n"/>
      <c r="I69" s="24" t="n"/>
      <c r="J69" s="24">
        <f>IF(I69="","",IF(I69&lt;=0,"NEED MORE",IF(I69&lt;=1,"LOW","OK")))</f>
        <v/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8" customHeight="1">
      <c r="A70" s="2" t="n"/>
      <c r="B70" s="2" t="n"/>
      <c r="C70" s="2" t="n"/>
      <c r="D70" s="2" t="n"/>
      <c r="E70" s="21" t="n"/>
      <c r="F70" s="21" t="n"/>
      <c r="G70" s="21" t="n"/>
      <c r="H70" s="21" t="n"/>
      <c r="I70" s="22" t="n"/>
      <c r="J70" s="22">
        <f>IF(I70="","",IF(I70&lt;=0,"NEED MORE",IF(I70&lt;=1,"LOW","OK")))</f>
        <v/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8" customHeight="1">
      <c r="A71" s="2" t="n"/>
      <c r="B71" s="2" t="n"/>
      <c r="C71" s="2" t="n"/>
      <c r="D71" s="2" t="n"/>
      <c r="E71" s="23" t="n"/>
      <c r="F71" s="23" t="n"/>
      <c r="G71" s="23" t="n"/>
      <c r="H71" s="23" t="n"/>
      <c r="I71" s="24" t="n"/>
      <c r="J71" s="24">
        <f>IF(I71="","",IF(I71&lt;=0,"NEED MORE",IF(I71&lt;=1,"LOW","OK")))</f>
        <v/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8" customHeight="1">
      <c r="A72" s="2" t="n"/>
      <c r="B72" s="2" t="n"/>
      <c r="C72" s="2" t="n"/>
      <c r="D72" s="2" t="n"/>
      <c r="E72" s="21" t="n"/>
      <c r="F72" s="21" t="n"/>
      <c r="G72" s="21" t="n"/>
      <c r="H72" s="21" t="n"/>
      <c r="I72" s="22" t="n"/>
      <c r="J72" s="22">
        <f>IF(I72="","",IF(I72&lt;=0,"NEED MORE",IF(I72&lt;=1,"LOW","OK")))</f>
        <v/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8" customHeight="1">
      <c r="A73" s="2" t="n"/>
      <c r="B73" s="2" t="n"/>
      <c r="C73" s="2" t="n"/>
      <c r="D73" s="2" t="n"/>
      <c r="E73" s="23" t="n"/>
      <c r="F73" s="23" t="n"/>
      <c r="G73" s="23" t="n"/>
      <c r="H73" s="23" t="n"/>
      <c r="I73" s="24" t="n"/>
      <c r="J73" s="24">
        <f>IF(I73="","",IF(I73&lt;=0,"NEED MORE",IF(I73&lt;=1,"LOW","OK")))</f>
        <v/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8" customHeight="1">
      <c r="A74" s="2" t="n"/>
      <c r="B74" s="2" t="n"/>
      <c r="C74" s="2" t="n"/>
      <c r="D74" s="2" t="n"/>
      <c r="E74" s="21" t="n"/>
      <c r="F74" s="21" t="n"/>
      <c r="G74" s="21" t="n"/>
      <c r="H74" s="21" t="n"/>
      <c r="I74" s="22" t="n"/>
      <c r="J74" s="22">
        <f>IF(I74="","",IF(I74&lt;=0,"NEED MORE",IF(I74&lt;=1,"LOW","OK")))</f>
        <v/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8" customHeight="1">
      <c r="A75" s="2" t="n"/>
      <c r="B75" s="2" t="n"/>
      <c r="C75" s="2" t="n"/>
      <c r="D75" s="2" t="n"/>
      <c r="E75" s="23" t="n"/>
      <c r="F75" s="23" t="n"/>
      <c r="G75" s="23" t="n"/>
      <c r="H75" s="23" t="n"/>
      <c r="I75" s="24" t="n"/>
      <c r="J75" s="24">
        <f>IF(I75="","",IF(I75&lt;=0,"NEED MORE",IF(I75&lt;=1,"LOW","OK")))</f>
        <v/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8" customHeight="1">
      <c r="A76" s="2" t="n"/>
      <c r="B76" s="2" t="n"/>
      <c r="C76" s="2" t="n"/>
      <c r="D76" s="2" t="n"/>
      <c r="E76" s="21" t="n"/>
      <c r="F76" s="21" t="n"/>
      <c r="G76" s="21" t="n"/>
      <c r="H76" s="21" t="n"/>
      <c r="I76" s="22" t="n"/>
      <c r="J76" s="22">
        <f>IF(I76="","",IF(I76&lt;=0,"NEED MORE",IF(I76&lt;=1,"LOW","OK")))</f>
        <v/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8" customHeight="1">
      <c r="A77" s="2" t="n"/>
      <c r="B77" s="2" t="n"/>
      <c r="C77" s="2" t="n"/>
      <c r="D77" s="2" t="n"/>
      <c r="E77" s="23" t="n"/>
      <c r="F77" s="23" t="n"/>
      <c r="G77" s="23" t="n"/>
      <c r="H77" s="23" t="n"/>
      <c r="I77" s="24" t="n"/>
      <c r="J77" s="24">
        <f>IF(I77="","",IF(I77&lt;=0,"NEED MORE",IF(I77&lt;=1,"LOW","OK")))</f>
        <v/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8" customHeight="1">
      <c r="A78" s="2" t="n"/>
      <c r="B78" s="2" t="n"/>
      <c r="C78" s="2" t="n"/>
      <c r="D78" s="2" t="n"/>
      <c r="E78" s="21" t="n"/>
      <c r="F78" s="21" t="n"/>
      <c r="G78" s="21" t="n"/>
      <c r="H78" s="21" t="n"/>
      <c r="I78" s="22" t="n"/>
      <c r="J78" s="22">
        <f>IF(I78="","",IF(I78&lt;=0,"NEED MORE",IF(I78&lt;=1,"LOW","OK")))</f>
        <v/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8" customHeight="1">
      <c r="A79" s="2" t="n"/>
      <c r="B79" s="2" t="n"/>
      <c r="C79" s="2" t="n"/>
      <c r="D79" s="2" t="n"/>
      <c r="E79" s="23" t="n"/>
      <c r="F79" s="23" t="n"/>
      <c r="G79" s="23" t="n"/>
      <c r="H79" s="23" t="n"/>
      <c r="I79" s="24" t="n"/>
      <c r="J79" s="24">
        <f>IF(I79="","",IF(I79&lt;=0,"NEED MORE",IF(I79&lt;=1,"LOW","OK")))</f>
        <v/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8" customHeight="1">
      <c r="A80" s="2" t="n"/>
      <c r="B80" s="2" t="n"/>
      <c r="C80" s="2" t="n"/>
      <c r="D80" s="2" t="n"/>
      <c r="E80" s="21" t="n"/>
      <c r="F80" s="21" t="n"/>
      <c r="G80" s="21" t="n"/>
      <c r="H80" s="21" t="n"/>
      <c r="I80" s="22" t="n"/>
      <c r="J80" s="22">
        <f>IF(I80="","",IF(I80&lt;=0,"NEED MORE",IF(I80&lt;=1,"LOW","OK")))</f>
        <v/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8" customHeight="1">
      <c r="A81" s="2" t="n"/>
      <c r="B81" s="2" t="n"/>
      <c r="C81" s="2" t="n"/>
      <c r="D81" s="2" t="n"/>
      <c r="E81" s="23" t="n"/>
      <c r="F81" s="23" t="n"/>
      <c r="G81" s="23" t="n"/>
      <c r="H81" s="23" t="n"/>
      <c r="I81" s="24" t="n"/>
      <c r="J81" s="24">
        <f>IF(I81="","",IF(I81&lt;=0,"NEED MORE",IF(I81&lt;=1,"LOW","OK")))</f>
        <v/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8" customHeight="1">
      <c r="A82" s="2" t="n"/>
      <c r="B82" s="2" t="n"/>
      <c r="C82" s="2" t="n"/>
      <c r="D82" s="2" t="n"/>
      <c r="E82" s="21" t="n"/>
      <c r="F82" s="21" t="n"/>
      <c r="G82" s="21" t="n"/>
      <c r="H82" s="21" t="n"/>
      <c r="I82" s="22" t="n"/>
      <c r="J82" s="22">
        <f>IF(I82="","",IF(I82&lt;=0,"NEED MORE",IF(I82&lt;=1,"LOW","OK")))</f>
        <v/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8" customHeight="1">
      <c r="A83" s="2" t="n"/>
      <c r="B83" s="2" t="n"/>
      <c r="C83" s="2" t="n"/>
      <c r="D83" s="2" t="n"/>
      <c r="E83" s="23" t="n"/>
      <c r="F83" s="23" t="n"/>
      <c r="G83" s="23" t="n"/>
      <c r="H83" s="23" t="n"/>
      <c r="I83" s="24" t="n"/>
      <c r="J83" s="24">
        <f>IF(I83="","",IF(I83&lt;=0,"NEED MORE",IF(I83&lt;=1,"LOW","OK")))</f>
        <v/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8" customHeight="1">
      <c r="A84" s="2" t="n"/>
      <c r="B84" s="2" t="n"/>
      <c r="C84" s="2" t="n"/>
      <c r="D84" s="2" t="n"/>
      <c r="E84" s="21" t="n"/>
      <c r="F84" s="21" t="n"/>
      <c r="G84" s="21" t="n"/>
      <c r="H84" s="21" t="n"/>
      <c r="I84" s="22" t="n"/>
      <c r="J84" s="22">
        <f>IF(I84="","",IF(I84&lt;=0,"NEED MORE",IF(I84&lt;=1,"LOW","OK")))</f>
        <v/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8" customHeight="1">
      <c r="A85" s="2" t="n"/>
      <c r="B85" s="2" t="n"/>
      <c r="C85" s="2" t="n"/>
      <c r="D85" s="2" t="n"/>
      <c r="E85" s="23" t="n"/>
      <c r="F85" s="23" t="n"/>
      <c r="G85" s="23" t="n"/>
      <c r="H85" s="23" t="n"/>
      <c r="I85" s="24" t="n"/>
      <c r="J85" s="24">
        <f>IF(I85="","",IF(I85&lt;=0,"NEED MORE",IF(I85&lt;=1,"LOW","OK")))</f>
        <v/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6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6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6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6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6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6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6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6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6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6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6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6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6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6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6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</sheetData>
  <mergeCells count="1">
    <mergeCell ref="E4:J4"/>
  </mergeCells>
  <conditionalFormatting sqref="J6:J85">
    <cfRule type="containsText" priority="1" operator="containsText" dxfId="0" text="OK">
      <formula>NOT(ISERROR(SEARCH("OK",J6)))</formula>
    </cfRule>
    <cfRule type="containsText" priority="2" operator="containsText" dxfId="1" text="LOW">
      <formula>NOT(ISERROR(SEARCH("LOW",J6)))</formula>
    </cfRule>
    <cfRule type="containsText" priority="3" operator="containsText" dxfId="2" text="NEED MORE">
      <formula>NOT(ISERROR(SEARCH("NEED MORE",J6)))</formula>
    </cfRule>
  </conditionalFormatting>
  <dataValidations count="2">
    <dataValidation sqref="F6:F85" showDropDown="0" showInputMessage="1" showErrorMessage="1" allowBlank="1" errorTitle="Invalid entry" error="Please select from list" type="list">
      <formula1>"Citadel,Vallejo,Army Painter,Scale75,Tamiya,AK Interactive,Reaper,Other"</formula1>
    </dataValidation>
    <dataValidation sqref="G6:G85" showDropDown="0" showInputMessage="1" showErrorMessage="1" allowBlank="1" errorTitle="Invalid entry" error="Please select from list" type="list">
      <formula1>"Base,Layer,Shade,Contrast,Dry,Technical,Glaze,Air,Other"</formula1>
    </dataValidation>
  </dataValidation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6" r:id="rId5"/>
    <hyperlink xmlns:r="http://schemas.openxmlformats.org/officeDocument/2006/relationships" ref="B17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0E8F"/>
    <outlinePr summaryBelow="1" summaryRight="1"/>
    <pageSetUpPr/>
  </sheetPr>
  <dimension ref="A1:AN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3" customWidth="1" min="4" max="4"/>
    <col width="34" customWidth="1" min="5" max="5"/>
    <col width="18" customWidth="1" min="6" max="6"/>
  </cols>
  <sheetData>
    <row r="1" ht="6" customHeight="1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36" customHeight="1">
      <c r="A2" s="3" t="n"/>
      <c r="B2" s="4" t="inlineStr">
        <is>
          <t>WARHAMMER
ARMY TRACKER</t>
        </is>
      </c>
      <c r="C2" s="3" t="n"/>
      <c r="D2" s="5" t="inlineStr">
        <is>
          <t>Pile of Shame  —  The Reckoning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6" customHeight="1">
      <c r="A3" s="3" t="n"/>
      <c r="B3" s="3" t="n"/>
      <c r="C3" s="3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16" customHeight="1">
      <c r="A4" s="3" t="n"/>
      <c r="B4" s="3" t="n"/>
      <c r="C4" s="3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2" customHeight="1">
      <c r="A5" s="3" t="n"/>
      <c r="B5" s="3" t="n"/>
      <c r="C5" s="3" t="n"/>
      <c r="D5" s="2" t="n"/>
      <c r="E5" s="16" t="inlineStr">
        <is>
          <t xml:space="preserve">  COLLECTION OVERVIEW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22" customHeight="1">
      <c r="A6" s="3" t="n"/>
      <c r="B6" s="7" t="inlineStr">
        <is>
          <t>OVERVIEW</t>
        </is>
      </c>
      <c r="C6" s="3" t="n"/>
      <c r="D6" s="2" t="n"/>
      <c r="E6" s="30" t="inlineStr">
        <is>
          <t>Total Models in Roster</t>
        </is>
      </c>
      <c r="F6" s="31">
        <f>SUMIF('ARMY ROSTER'!K6:K55,"&lt;&gt;",'ARMY ROSTER'!H6:H55)</f>
        <v/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22" customHeight="1">
      <c r="A7" s="3" t="n"/>
      <c r="B7" s="10" t="inlineStr">
        <is>
          <t>INSTRUCTIONS</t>
        </is>
      </c>
      <c r="C7" s="3" t="n"/>
      <c r="D7" s="2" t="n"/>
      <c r="E7" s="30" t="inlineStr">
        <is>
          <t>Models Fully Painted</t>
        </is>
      </c>
      <c r="F7" s="31">
        <f>SUMIF('ARMY ROSTER'!K6:K55,"Complete",'ARMY ROSTER'!H6:H55)</f>
        <v/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22" customHeight="1">
      <c r="A8" s="3" t="n"/>
      <c r="B8" s="10" t="inlineStr">
        <is>
          <t>SETUP</t>
        </is>
      </c>
      <c r="C8" s="3" t="n"/>
      <c r="D8" s="2" t="n"/>
      <c r="E8" s="30" t="inlineStr">
        <is>
          <t>Models Unpainted / In Progress</t>
        </is>
      </c>
      <c r="F8" s="31">
        <f>F6-F7</f>
        <v/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22" customHeight="1">
      <c r="A9" s="3" t="n"/>
      <c r="B9" s="3" t="n"/>
      <c r="C9" s="3" t="n"/>
      <c r="D9" s="2" t="n"/>
      <c r="E9" s="30" t="inlineStr">
        <is>
          <t>Total Roster Points</t>
        </is>
      </c>
      <c r="F9" s="31">
        <f>'ARMY ROSTER'!J56</f>
        <v/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22" customHeight="1">
      <c r="A10" s="3" t="n"/>
      <c r="B10" s="7" t="inlineStr">
        <is>
          <t>TRACKING</t>
        </is>
      </c>
      <c r="C10" s="3" t="n"/>
      <c r="D10" s="2" t="n"/>
      <c r="E10" s="30" t="inlineStr">
        <is>
          <t>Target Army Points (Setup)</t>
        </is>
      </c>
      <c r="F10" s="31">
        <f>SETUP!E9</f>
        <v/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22" customHeight="1">
      <c r="A11" s="3" t="n"/>
      <c r="B11" s="10" t="inlineStr">
        <is>
          <t>ARMY ROSTER</t>
        </is>
      </c>
      <c r="C11" s="3" t="n"/>
      <c r="D11" s="2" t="n"/>
      <c r="E11" s="30" t="inlineStr">
        <is>
          <t>Points Still Needing Paint</t>
        </is>
      </c>
      <c r="F11" s="31">
        <f>SUMIF('ARMY ROSTER'!K6:K55,"&lt;&gt;Complete",'ARMY ROSTER'!J6:J55)</f>
        <v/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3" t="n"/>
      <c r="B12" s="10" t="inlineStr">
        <is>
          <t>PAINTING</t>
        </is>
      </c>
      <c r="C12" s="3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22" customHeight="1">
      <c r="A13" s="3" t="n"/>
      <c r="B13" s="10" t="inlineStr">
        <is>
          <t>PAINT INV.</t>
        </is>
      </c>
      <c r="C13" s="3" t="n"/>
      <c r="D13" s="2" t="n"/>
      <c r="E13" s="16" t="inlineStr">
        <is>
          <t xml:space="preserve">  TIME ESTIMATE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22" customHeight="1">
      <c r="A14" s="3" t="n"/>
      <c r="B14" s="3" t="n"/>
      <c r="C14" s="3" t="n"/>
      <c r="D14" s="2" t="n"/>
      <c r="E14" s="30" t="inlineStr">
        <is>
          <t>Avg. Hours Per Model (from Setup)</t>
        </is>
      </c>
      <c r="F14" s="31">
        <f>SETUP!E10</f>
        <v/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22" customHeight="1">
      <c r="A15" s="3" t="n"/>
      <c r="B15" s="7" t="inlineStr">
        <is>
          <t>ANALYSIS</t>
        </is>
      </c>
      <c r="C15" s="3" t="n"/>
      <c r="D15" s="2" t="n"/>
      <c r="E15" s="30" t="inlineStr">
        <is>
          <t>Painting Hours Per Week (from Setup)</t>
        </is>
      </c>
      <c r="F15" s="31">
        <f>SETUP!E11</f>
        <v/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22" customHeight="1">
      <c r="A16" s="3" t="n"/>
      <c r="B16" s="9" t="inlineStr">
        <is>
          <t>PILE OF SHAME</t>
        </is>
      </c>
      <c r="C16" s="3" t="n"/>
      <c r="D16" s="2" t="n"/>
      <c r="E16" s="30" t="inlineStr">
        <is>
          <t>Total Estimated Hours Remaining</t>
        </is>
      </c>
      <c r="F16" s="32">
        <f>F8*F14</f>
        <v/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22" customHeight="1">
      <c r="A17" s="3" t="n"/>
      <c r="B17" s="10" t="inlineStr">
        <is>
          <t>DASHBOARD</t>
        </is>
      </c>
      <c r="C17" s="3" t="n"/>
      <c r="D17" s="2" t="n"/>
      <c r="E17" s="30" t="inlineStr">
        <is>
          <t>Weeks to Full Completion</t>
        </is>
      </c>
      <c r="F17" s="33">
        <f>IF(F15=0,"Set hours in Setup",ROUND(F16/F15,1))</f>
        <v/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22" customHeight="1">
      <c r="A18" s="3" t="n"/>
      <c r="B18" s="3" t="n"/>
      <c r="C18" s="3" t="n"/>
      <c r="D18" s="2" t="n"/>
      <c r="E18" s="30" t="inlineStr">
        <is>
          <t>Months to Full Completion</t>
        </is>
      </c>
      <c r="F18" s="33">
        <f>IF(ISNUMBER(F17),ROUND(F17/4.33,1),"—")</f>
        <v/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3" t="n"/>
      <c r="B19" s="3" t="n"/>
      <c r="C19" s="3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3" t="n"/>
      <c r="B20" s="3" t="n"/>
      <c r="C20" s="3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22" customHeight="1">
      <c r="A21" s="3" t="n"/>
      <c r="B21" s="3" t="n"/>
      <c r="C21" s="3" t="n"/>
      <c r="D21" s="2" t="n"/>
      <c r="E21" s="16" t="inlineStr">
        <is>
          <t xml:space="preserve">  PAINT LOCKER STATUS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22" customHeight="1">
      <c r="A22" s="3" t="n"/>
      <c r="B22" s="3" t="n"/>
      <c r="C22" s="3" t="n"/>
      <c r="D22" s="2" t="n"/>
      <c r="E22" s="30" t="inlineStr">
        <is>
          <t>Total Paints Catalogued</t>
        </is>
      </c>
      <c r="F22" s="31">
        <f>COUNTA('PAINT INVENTORY'!E6:E85)</f>
        <v/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22" customHeight="1">
      <c r="A23" s="3" t="n"/>
      <c r="B23" s="3" t="n"/>
      <c r="C23" s="3" t="n"/>
      <c r="D23" s="2" t="n"/>
      <c r="E23" s="30" t="inlineStr">
        <is>
          <t>Paints Low or Needed</t>
        </is>
      </c>
      <c r="F23" s="31">
        <f>COUNTIF('PAINT INVENTORY'!J6:J85,"LOW")+COUNTIF('PAINT INVENTORY'!J6:J85,"NEED MORE")</f>
        <v/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6" customHeight="1">
      <c r="A24" s="3" t="n"/>
      <c r="B24" s="3" t="n"/>
      <c r="C24" s="3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6" customHeight="1">
      <c r="A25" s="3" t="n"/>
      <c r="B25" s="3" t="n"/>
      <c r="C25" s="3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22" customHeight="1">
      <c r="A26" s="3" t="n"/>
      <c r="B26" s="3" t="n"/>
      <c r="C26" s="3" t="n"/>
      <c r="D26" s="2" t="n"/>
      <c r="E26" s="34" t="inlineStr">
        <is>
          <t>"Every model painted is a battle won against the grey tide. The Pile of Shame is not a source of guilt — it is a backlog of future glories."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22" customHeight="1">
      <c r="A27" s="3" t="n"/>
      <c r="B27" s="3" t="n"/>
      <c r="C27" s="3" t="n"/>
      <c r="D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3" t="n"/>
      <c r="B28" s="3" t="n"/>
      <c r="C28" s="3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3" t="n"/>
      <c r="B29" s="3" t="n"/>
      <c r="C29" s="3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6" customHeight="1">
      <c r="A30" s="3" t="n"/>
      <c r="B30" s="3" t="n"/>
      <c r="C30" s="3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6" customHeight="1">
      <c r="A31" s="3" t="n"/>
      <c r="B31" s="3" t="n"/>
      <c r="C31" s="3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6" customHeight="1">
      <c r="A32" s="3" t="n"/>
      <c r="B32" s="3" t="n"/>
      <c r="C32" s="3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6" customHeight="1">
      <c r="A33" s="3" t="n"/>
      <c r="B33" s="3" t="n"/>
      <c r="C33" s="3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6" customHeight="1">
      <c r="A34" s="3" t="n"/>
      <c r="B34" s="3" t="n"/>
      <c r="C34" s="3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6" customHeight="1">
      <c r="A35" s="3" t="n"/>
      <c r="B35" s="3" t="n"/>
      <c r="C35" s="3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6" customHeight="1">
      <c r="A36" s="3" t="n"/>
      <c r="B36" s="3" t="n"/>
      <c r="C36" s="3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6" customHeight="1">
      <c r="A37" s="3" t="n"/>
      <c r="B37" s="3" t="n"/>
      <c r="C37" s="3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6" customHeight="1">
      <c r="A38" s="3" t="n"/>
      <c r="B38" s="3" t="n"/>
      <c r="C38" s="3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6" customHeight="1">
      <c r="A39" s="3" t="n"/>
      <c r="B39" s="3" t="n"/>
      <c r="C39" s="3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6" customHeight="1">
      <c r="A40" s="3" t="n"/>
      <c r="B40" s="3" t="n"/>
      <c r="C40" s="3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6" customHeight="1">
      <c r="A41" s="3" t="n"/>
      <c r="B41" s="3" t="n"/>
      <c r="C41" s="3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6" customHeight="1">
      <c r="A42" s="3" t="n"/>
      <c r="B42" s="3" t="n"/>
      <c r="C42" s="3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6" customHeight="1">
      <c r="A43" s="3" t="n"/>
      <c r="B43" s="3" t="n"/>
      <c r="C43" s="3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6" customHeight="1">
      <c r="A44" s="3" t="n"/>
      <c r="B44" s="3" t="n"/>
      <c r="C44" s="3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6" customHeight="1">
      <c r="A45" s="3" t="n"/>
      <c r="B45" s="3" t="n"/>
      <c r="C45" s="3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6" customHeight="1">
      <c r="A46" s="3" t="n"/>
      <c r="B46" s="3" t="n"/>
      <c r="C46" s="3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6" customHeight="1">
      <c r="A47" s="3" t="n"/>
      <c r="B47" s="3" t="n"/>
      <c r="C47" s="3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6" customHeight="1">
      <c r="A48" s="3" t="n"/>
      <c r="B48" s="3" t="n"/>
      <c r="C48" s="3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6" customHeight="1">
      <c r="A49" s="3" t="n"/>
      <c r="B49" s="3" t="n"/>
      <c r="C49" s="3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6" customHeight="1">
      <c r="A50" s="3" t="n"/>
      <c r="B50" s="3" t="n"/>
      <c r="C50" s="3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6" customHeight="1">
      <c r="A51" s="3" t="n"/>
      <c r="B51" s="3" t="n"/>
      <c r="C51" s="3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6" customHeight="1">
      <c r="A52" s="3" t="n"/>
      <c r="B52" s="3" t="n"/>
      <c r="C52" s="3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6" customHeight="1">
      <c r="A53" s="3" t="n"/>
      <c r="B53" s="3" t="n"/>
      <c r="C53" s="3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6" customHeight="1">
      <c r="A54" s="3" t="n"/>
      <c r="B54" s="3" t="n"/>
      <c r="C54" s="3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6" customHeight="1">
      <c r="A55" s="3" t="n"/>
      <c r="B55" s="3" t="n"/>
      <c r="C55" s="3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6" customHeight="1">
      <c r="A56" s="3" t="n"/>
      <c r="B56" s="3" t="n"/>
      <c r="C56" s="3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6" customHeight="1">
      <c r="A57" s="3" t="n"/>
      <c r="B57" s="3" t="n"/>
      <c r="C57" s="3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6" customHeight="1">
      <c r="A58" s="3" t="n"/>
      <c r="B58" s="3" t="n"/>
      <c r="C58" s="3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6" customHeight="1">
      <c r="A59" s="3" t="n"/>
      <c r="B59" s="3" t="n"/>
      <c r="C59" s="3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6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6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6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6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6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6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6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6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6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6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6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6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6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6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6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6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6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6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6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6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6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6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6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6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6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6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6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6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6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6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6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6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6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6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6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6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6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6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6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6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6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</sheetData>
  <mergeCells count="4">
    <mergeCell ref="E5:F5"/>
    <mergeCell ref="E13:F13"/>
    <mergeCell ref="E26:F27"/>
    <mergeCell ref="E21:F21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7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0E8F"/>
    <outlinePr summaryBelow="1" summaryRight="1"/>
    <pageSetUpPr/>
  </sheetPr>
  <dimension ref="A1:AN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.5" customWidth="1" min="3" max="3"/>
    <col width="16" customWidth="1" min="4" max="4"/>
    <col width="14" customWidth="1" min="5" max="5"/>
    <col width="3.8" customWidth="1" min="6" max="6"/>
    <col width="16" customWidth="1" min="7" max="7"/>
    <col width="12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</cols>
  <sheetData>
    <row r="1" ht="6" customHeight="1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36" customHeight="1">
      <c r="A2" s="3" t="n"/>
      <c r="B2" s="4" t="inlineStr">
        <is>
          <t>WARHAMMER
ARMY TRACKER</t>
        </is>
      </c>
      <c r="C2" s="3" t="n"/>
      <c r="D2" s="5" t="inlineStr">
        <is>
          <t>Dashboard  —  Army Overview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6" customHeight="1">
      <c r="A3" s="3" t="n"/>
      <c r="B3" s="3" t="n"/>
      <c r="C3" s="3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16" customHeight="1">
      <c r="A4" s="3" t="n"/>
      <c r="B4" s="3" t="n"/>
      <c r="C4" s="3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3" t="n"/>
      <c r="B5" s="3" t="n"/>
      <c r="C5" s="3" t="n"/>
      <c r="D5" s="35" t="n"/>
      <c r="E5" s="35" t="n"/>
      <c r="F5" s="35" t="n"/>
      <c r="G5" s="35" t="n"/>
      <c r="H5" s="35" t="n"/>
      <c r="I5" s="2" t="n"/>
      <c r="J5" s="35" t="n"/>
      <c r="K5" s="35" t="n"/>
      <c r="L5" s="35" t="n"/>
      <c r="M5" s="35" t="n"/>
      <c r="N5" s="35" t="n"/>
      <c r="O5" s="2" t="n"/>
      <c r="P5" s="35" t="n"/>
      <c r="Q5" s="35" t="n"/>
      <c r="R5" s="35" t="n"/>
      <c r="S5" s="35" t="n"/>
      <c r="T5" s="35" t="n"/>
      <c r="U5" s="2" t="n"/>
      <c r="V5" s="35" t="n"/>
      <c r="W5" s="35" t="n"/>
      <c r="X5" s="35" t="n"/>
      <c r="Y5" s="35" t="n"/>
      <c r="Z5" s="35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3" t="n"/>
      <c r="B6" s="7" t="inlineStr">
        <is>
          <t>OVERVIEW</t>
        </is>
      </c>
      <c r="C6" s="3" t="n"/>
      <c r="D6" s="36">
        <f>'ARMY ROSTER'!J56</f>
        <v/>
      </c>
      <c r="E6" s="37" t="n"/>
      <c r="F6" s="37" t="n"/>
      <c r="G6" s="37" t="n"/>
      <c r="H6" s="38" t="n"/>
      <c r="I6" s="2" t="n"/>
      <c r="J6" s="36">
        <f>SUMIF('ARMY ROSTER'!K6:K55,"&lt;&gt;",'ARMY ROSTER'!H6:H55)</f>
        <v/>
      </c>
      <c r="K6" s="37" t="n"/>
      <c r="L6" s="37" t="n"/>
      <c r="M6" s="37" t="n"/>
      <c r="N6" s="38" t="n"/>
      <c r="O6" s="2" t="n"/>
      <c r="P6" s="39">
        <f>IF(SUMIF('ARMY ROSTER'!K6:K55,"&lt;&gt;",'ARMY ROSTER'!H6:H55)=0,0,SUMIF('ARMY ROSTER'!K6:K55,"Complete",'ARMY ROSTER'!H6:H55)/SUMIF('ARMY ROSTER'!K6:K55,"&lt;&gt;",'ARMY ROSTER'!H6:H55))</f>
        <v/>
      </c>
      <c r="Q6" s="37" t="n"/>
      <c r="R6" s="37" t="n"/>
      <c r="S6" s="37" t="n"/>
      <c r="T6" s="38" t="n"/>
      <c r="U6" s="2" t="n"/>
      <c r="V6" s="40">
        <f>'PILE OF SHAME'!F16</f>
        <v/>
      </c>
      <c r="W6" s="37" t="n"/>
      <c r="X6" s="37" t="n"/>
      <c r="Y6" s="37" t="n"/>
      <c r="Z6" s="38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6" customHeight="1">
      <c r="A7" s="3" t="n"/>
      <c r="B7" s="10" t="inlineStr">
        <is>
          <t>INSTRUCTIONS</t>
        </is>
      </c>
      <c r="C7" s="3" t="n"/>
      <c r="D7" s="41" t="n"/>
      <c r="E7" s="42" t="n"/>
      <c r="F7" s="42" t="n"/>
      <c r="G7" s="42" t="n"/>
      <c r="H7" s="43" t="n"/>
      <c r="I7" s="2" t="n"/>
      <c r="J7" s="41" t="n"/>
      <c r="K7" s="42" t="n"/>
      <c r="L7" s="42" t="n"/>
      <c r="M7" s="42" t="n"/>
      <c r="N7" s="43" t="n"/>
      <c r="O7" s="2" t="n"/>
      <c r="P7" s="41" t="n"/>
      <c r="Q7" s="42" t="n"/>
      <c r="R7" s="42" t="n"/>
      <c r="S7" s="42" t="n"/>
      <c r="T7" s="43" t="n"/>
      <c r="U7" s="2" t="n"/>
      <c r="V7" s="41" t="n"/>
      <c r="W7" s="42" t="n"/>
      <c r="X7" s="42" t="n"/>
      <c r="Y7" s="42" t="n"/>
      <c r="Z7" s="43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6" customHeight="1">
      <c r="A8" s="3" t="n"/>
      <c r="B8" s="10" t="inlineStr">
        <is>
          <t>SETUP</t>
        </is>
      </c>
      <c r="C8" s="3" t="n"/>
      <c r="D8" s="44" t="inlineStr">
        <is>
          <t>TOTAL ARMY POINTS</t>
        </is>
      </c>
      <c r="E8" s="37" t="n"/>
      <c r="F8" s="37" t="n"/>
      <c r="G8" s="37" t="n"/>
      <c r="H8" s="38" t="n"/>
      <c r="I8" s="2" t="n"/>
      <c r="J8" s="44" t="inlineStr">
        <is>
          <t>TOTAL MODELS</t>
        </is>
      </c>
      <c r="K8" s="37" t="n"/>
      <c r="L8" s="37" t="n"/>
      <c r="M8" s="37" t="n"/>
      <c r="N8" s="38" t="n"/>
      <c r="O8" s="2" t="n"/>
      <c r="P8" s="44" t="inlineStr">
        <is>
          <t>% PAINTED</t>
        </is>
      </c>
      <c r="Q8" s="37" t="n"/>
      <c r="R8" s="37" t="n"/>
      <c r="S8" s="37" t="n"/>
      <c r="T8" s="38" t="n"/>
      <c r="U8" s="2" t="n"/>
      <c r="V8" s="44" t="inlineStr">
        <is>
          <t>HOURS TO COMPLETION</t>
        </is>
      </c>
      <c r="W8" s="37" t="n"/>
      <c r="X8" s="37" t="n"/>
      <c r="Y8" s="37" t="n"/>
      <c r="Z8" s="38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6" customHeight="1">
      <c r="A9" s="3" t="n"/>
      <c r="B9" s="3" t="n"/>
      <c r="C9" s="3" t="n"/>
      <c r="D9" s="41" t="n"/>
      <c r="E9" s="42" t="n"/>
      <c r="F9" s="42" t="n"/>
      <c r="G9" s="42" t="n"/>
      <c r="H9" s="43" t="n"/>
      <c r="I9" s="2" t="n"/>
      <c r="J9" s="41" t="n"/>
      <c r="K9" s="42" t="n"/>
      <c r="L9" s="42" t="n"/>
      <c r="M9" s="42" t="n"/>
      <c r="N9" s="43" t="n"/>
      <c r="O9" s="2" t="n"/>
      <c r="P9" s="41" t="n"/>
      <c r="Q9" s="42" t="n"/>
      <c r="R9" s="42" t="n"/>
      <c r="S9" s="42" t="n"/>
      <c r="T9" s="43" t="n"/>
      <c r="U9" s="2" t="n"/>
      <c r="V9" s="41" t="n"/>
      <c r="W9" s="42" t="n"/>
      <c r="X9" s="42" t="n"/>
      <c r="Y9" s="42" t="n"/>
      <c r="Z9" s="43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6" customHeight="1">
      <c r="A10" s="3" t="n"/>
      <c r="B10" s="7" t="inlineStr">
        <is>
          <t>TRACKING</t>
        </is>
      </c>
      <c r="C10" s="3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6" customHeight="1">
      <c r="A11" s="3" t="n"/>
      <c r="B11" s="10" t="inlineStr">
        <is>
          <t>ARMY ROSTER</t>
        </is>
      </c>
      <c r="C11" s="3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0" customHeight="1">
      <c r="A12" s="3" t="n"/>
      <c r="B12" s="10" t="inlineStr">
        <is>
          <t>PAINTING</t>
        </is>
      </c>
      <c r="C12" s="3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20" customHeight="1">
      <c r="A13" s="3" t="n"/>
      <c r="B13" s="10" t="inlineStr">
        <is>
          <t>PAINT INV.</t>
        </is>
      </c>
      <c r="C13" s="3" t="n"/>
      <c r="D13" s="20" t="inlineStr">
        <is>
          <t>Stage</t>
        </is>
      </c>
      <c r="E13" s="20" t="inlineStr">
        <is>
          <t>Models Done</t>
        </is>
      </c>
      <c r="F13" s="2" t="n"/>
      <c r="G13" s="20" t="inlineStr">
        <is>
          <t>Status</t>
        </is>
      </c>
      <c r="H13" s="20" t="inlineStr">
        <is>
          <t>Models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8" customHeight="1">
      <c r="A14" s="3" t="n"/>
      <c r="B14" s="3" t="n"/>
      <c r="C14" s="3" t="n"/>
      <c r="D14" s="45" t="inlineStr">
        <is>
          <t>Assembled</t>
        </is>
      </c>
      <c r="E14" s="46">
        <f>SUMPRODUCT(('PAINTING PROGRESS'!G6:G55="Yes")*('PAINTING PROGRESS'!F6:F55))</f>
        <v/>
      </c>
      <c r="F14" s="2" t="n"/>
      <c r="G14" s="45" t="inlineStr">
        <is>
          <t>Unpainted</t>
        </is>
      </c>
      <c r="H14" s="46">
        <f>SUMIF('ARMY ROSTER'!K6:K55,G14,'ARMY ROSTER'!H6:H55)</f>
        <v/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8" customHeight="1">
      <c r="A15" s="3" t="n"/>
      <c r="B15" s="7" t="inlineStr">
        <is>
          <t>ANALYSIS</t>
        </is>
      </c>
      <c r="C15" s="3" t="n"/>
      <c r="D15" s="45" t="inlineStr">
        <is>
          <t>Primed</t>
        </is>
      </c>
      <c r="E15" s="46">
        <f>SUMPRODUCT(('PAINTING PROGRESS'!H6:H55="Yes")*('PAINTING PROGRESS'!F6:F55))</f>
        <v/>
      </c>
      <c r="F15" s="2" t="n"/>
      <c r="G15" s="45" t="inlineStr">
        <is>
          <t>Assembled</t>
        </is>
      </c>
      <c r="H15" s="46">
        <f>SUMIF('ARMY ROSTER'!K6:K55,G15,'ARMY ROSTER'!H6:H55)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8" customHeight="1">
      <c r="A16" s="3" t="n"/>
      <c r="B16" s="10" t="inlineStr">
        <is>
          <t>PILE OF SHAME</t>
        </is>
      </c>
      <c r="C16" s="3" t="n"/>
      <c r="D16" s="45" t="inlineStr">
        <is>
          <t>Base Coat</t>
        </is>
      </c>
      <c r="E16" s="46">
        <f>SUMPRODUCT(('PAINTING PROGRESS'!I6:I55="Yes")*('PAINTING PROGRESS'!F6:F55))</f>
        <v/>
      </c>
      <c r="F16" s="2" t="n"/>
      <c r="G16" s="45" t="inlineStr">
        <is>
          <t>Primed</t>
        </is>
      </c>
      <c r="H16" s="46">
        <f>SUMIF('ARMY ROSTER'!K6:K55,G16,'ARMY ROSTER'!H6:H55)</f>
        <v/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8" customHeight="1">
      <c r="A17" s="3" t="n"/>
      <c r="B17" s="9" t="inlineStr">
        <is>
          <t>DASHBOARD</t>
        </is>
      </c>
      <c r="C17" s="3" t="n"/>
      <c r="D17" s="45" t="inlineStr">
        <is>
          <t>Highlights</t>
        </is>
      </c>
      <c r="E17" s="46">
        <f>SUMPRODUCT(('PAINTING PROGRESS'!J6:J55="Yes")*('PAINTING PROGRESS'!F6:F55))</f>
        <v/>
      </c>
      <c r="F17" s="2" t="n"/>
      <c r="G17" s="45" t="inlineStr">
        <is>
          <t>In Progress</t>
        </is>
      </c>
      <c r="H17" s="46">
        <f>SUMIF('ARMY ROSTER'!K6:K55,G17,'ARMY ROSTER'!H6:H55)</f>
        <v/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8" customHeight="1">
      <c r="A18" s="3" t="n"/>
      <c r="B18" s="3" t="n"/>
      <c r="C18" s="3" t="n"/>
      <c r="D18" s="45" t="inlineStr">
        <is>
          <t>Washes</t>
        </is>
      </c>
      <c r="E18" s="46">
        <f>SUMPRODUCT(('PAINTING PROGRESS'!K6:K55="Yes")*('PAINTING PROGRESS'!F6:F55))</f>
        <v/>
      </c>
      <c r="F18" s="2" t="n"/>
      <c r="G18" s="45" t="inlineStr">
        <is>
          <t>Complete</t>
        </is>
      </c>
      <c r="H18" s="46">
        <f>SUMIF('ARMY ROSTER'!K6:K55,G18,'ARMY ROSTER'!H6:H55)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8" customHeight="1">
      <c r="A19" s="3" t="n"/>
      <c r="B19" s="3" t="n"/>
      <c r="C19" s="3" t="n"/>
      <c r="D19" s="45" t="inlineStr">
        <is>
          <t>Details</t>
        </is>
      </c>
      <c r="E19" s="46">
        <f>SUMPRODUCT(('PAINTING PROGRESS'!L6:L55="Yes")*('PAINTING PROGRESS'!F6:F55))</f>
        <v/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8" customHeight="1">
      <c r="A20" s="3" t="n"/>
      <c r="B20" s="3" t="n"/>
      <c r="C20" s="3" t="n"/>
      <c r="D20" s="45" t="inlineStr">
        <is>
          <t>Basing</t>
        </is>
      </c>
      <c r="E20" s="46">
        <f>SUMPRODUCT(('PAINTING PROGRESS'!M6:M55="Yes")*('PAINTING PROGRESS'!F6:F55))</f>
        <v/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8" customHeight="1">
      <c r="A21" s="3" t="n"/>
      <c r="B21" s="3" t="n"/>
      <c r="C21" s="3" t="n"/>
      <c r="D21" s="45" t="inlineStr">
        <is>
          <t>Varnished</t>
        </is>
      </c>
      <c r="E21" s="46">
        <f>SUMPRODUCT(('PAINTING PROGRESS'!N6:N55="Yes")*('PAINTING PROGRESS'!F6:F55))</f>
        <v/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6" customHeight="1">
      <c r="A22" s="3" t="n"/>
      <c r="B22" s="3" t="n"/>
      <c r="C22" s="3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6" customHeight="1">
      <c r="A23" s="3" t="n"/>
      <c r="B23" s="3" t="n"/>
      <c r="C23" s="3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6" customHeight="1">
      <c r="A24" s="3" t="n"/>
      <c r="B24" s="3" t="n"/>
      <c r="C24" s="3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6" customHeight="1">
      <c r="A25" s="3" t="n"/>
      <c r="B25" s="3" t="n"/>
      <c r="C25" s="3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6" customHeight="1">
      <c r="A26" s="3" t="n"/>
      <c r="B26" s="3" t="n"/>
      <c r="C26" s="3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6" customHeight="1">
      <c r="A27" s="3" t="n"/>
      <c r="B27" s="3" t="n"/>
      <c r="C27" s="3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3" t="n"/>
      <c r="B28" s="3" t="n"/>
      <c r="C28" s="3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3" t="n"/>
      <c r="B29" s="3" t="n"/>
      <c r="C29" s="3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6" customHeight="1">
      <c r="A30" s="3" t="n"/>
      <c r="B30" s="3" t="n"/>
      <c r="C30" s="3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6" customHeight="1">
      <c r="A31" s="3" t="n"/>
      <c r="B31" s="3" t="n"/>
      <c r="C31" s="3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6" customHeight="1">
      <c r="A32" s="3" t="n"/>
      <c r="B32" s="3" t="n"/>
      <c r="C32" s="3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6" customHeight="1">
      <c r="A33" s="3" t="n"/>
      <c r="B33" s="3" t="n"/>
      <c r="C33" s="3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6" customHeight="1">
      <c r="A34" s="3" t="n"/>
      <c r="B34" s="3" t="n"/>
      <c r="C34" s="3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6" customHeight="1">
      <c r="A35" s="3" t="n"/>
      <c r="B35" s="3" t="n"/>
      <c r="C35" s="3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6" customHeight="1">
      <c r="A36" s="3" t="n"/>
      <c r="B36" s="3" t="n"/>
      <c r="C36" s="3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6" customHeight="1">
      <c r="A37" s="3" t="n"/>
      <c r="B37" s="3" t="n"/>
      <c r="C37" s="3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6" customHeight="1">
      <c r="A38" s="3" t="n"/>
      <c r="B38" s="3" t="n"/>
      <c r="C38" s="3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6" customHeight="1">
      <c r="A39" s="3" t="n"/>
      <c r="B39" s="3" t="n"/>
      <c r="C39" s="3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6" customHeight="1">
      <c r="A40" s="3" t="n"/>
      <c r="B40" s="3" t="n"/>
      <c r="C40" s="3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6" customHeight="1">
      <c r="A41" s="3" t="n"/>
      <c r="B41" s="3" t="n"/>
      <c r="C41" s="3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6" customHeight="1">
      <c r="A42" s="3" t="n"/>
      <c r="B42" s="3" t="n"/>
      <c r="C42" s="3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6" customHeight="1">
      <c r="A43" s="3" t="n"/>
      <c r="B43" s="3" t="n"/>
      <c r="C43" s="3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6" customHeight="1">
      <c r="A44" s="3" t="n"/>
      <c r="B44" s="3" t="n"/>
      <c r="C44" s="3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6" customHeight="1">
      <c r="A45" s="3" t="n"/>
      <c r="B45" s="3" t="n"/>
      <c r="C45" s="3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6" customHeight="1">
      <c r="A46" s="3" t="n"/>
      <c r="B46" s="3" t="n"/>
      <c r="C46" s="3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6" customHeight="1">
      <c r="A47" s="3" t="n"/>
      <c r="B47" s="3" t="n"/>
      <c r="C47" s="3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6" customHeight="1">
      <c r="A48" s="3" t="n"/>
      <c r="B48" s="3" t="n"/>
      <c r="C48" s="3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6" customHeight="1">
      <c r="A49" s="3" t="n"/>
      <c r="B49" s="3" t="n"/>
      <c r="C49" s="3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6" customHeight="1">
      <c r="A50" s="3" t="n"/>
      <c r="B50" s="3" t="n"/>
      <c r="C50" s="3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6" customHeight="1">
      <c r="A51" s="3" t="n"/>
      <c r="B51" s="3" t="n"/>
      <c r="C51" s="3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6" customHeight="1">
      <c r="A52" s="3" t="n"/>
      <c r="B52" s="3" t="n"/>
      <c r="C52" s="3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6" customHeight="1">
      <c r="A53" s="3" t="n"/>
      <c r="B53" s="3" t="n"/>
      <c r="C53" s="3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6" customHeight="1">
      <c r="A54" s="3" t="n"/>
      <c r="B54" s="3" t="n"/>
      <c r="C54" s="3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6" customHeight="1">
      <c r="A55" s="3" t="n"/>
      <c r="B55" s="3" t="n"/>
      <c r="C55" s="3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6" customHeight="1">
      <c r="A56" s="3" t="n"/>
      <c r="B56" s="3" t="n"/>
      <c r="C56" s="3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6" customHeight="1">
      <c r="A57" s="3" t="n"/>
      <c r="B57" s="3" t="n"/>
      <c r="C57" s="3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6" customHeight="1">
      <c r="A58" s="3" t="n"/>
      <c r="B58" s="3" t="n"/>
      <c r="C58" s="3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6" customHeight="1">
      <c r="A59" s="3" t="n"/>
      <c r="B59" s="3" t="n"/>
      <c r="C59" s="3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6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6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6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6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6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6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6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6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6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6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6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6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6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6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6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6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6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6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6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6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6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6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6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6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6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6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6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6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6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6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6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6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6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6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6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6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6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6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6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6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6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</sheetData>
  <mergeCells count="8">
    <mergeCell ref="J8:N9"/>
    <mergeCell ref="P8:T9"/>
    <mergeCell ref="D8:H9"/>
    <mergeCell ref="P6:T7"/>
    <mergeCell ref="V8:Z9"/>
    <mergeCell ref="J6:N7"/>
    <mergeCell ref="V6:Z7"/>
    <mergeCell ref="D6:H7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6" r:id="rId6"/>
  </hyperlinks>
  <pageMargins left="0.75" right="0.75" top="1" bottom="1" header="0.5" footer="0.5"/>
  <drawing xmlns:r="http://schemas.openxmlformats.org/officeDocument/2006/relationships" r:id="rId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2026-04-09T20:41:59Z</dcterms:created>
  <dcterms:modified xmlns:dcterms="http://purl.org/dc/terms/" xmlns:xsi="http://www.w3.org/2001/XMLSchema-instance" xsi:type="dcterms:W3CDTF">2026-04-09T20:42:00Z</dcterms:modified>
</cp:coreProperties>
</file>