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7.xml" ContentType="application/vnd.openxmlformats-officedocument.drawing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Save the Date" sheetId="3" state="visible" r:id="rId3"/>
    <sheet name="Theme" sheetId="4" state="visible" r:id="rId4"/>
    <sheet name="DASHBOARD" sheetId="5" state="visible" r:id="rId5"/>
    <sheet name="Calendar" sheetId="6" state="visible" r:id="rId6"/>
    <sheet name="Timeline" sheetId="7" state="visible" r:id="rId7"/>
    <sheet name="Itinerary" sheetId="8" state="visible" r:id="rId8"/>
    <sheet name="Packing List" sheetId="9" state="visible" r:id="rId9"/>
    <sheet name="Vendors" sheetId="10" state="visible" r:id="rId10"/>
    <sheet name="Venues" sheetId="11" state="visible" r:id="rId11"/>
    <sheet name="BUDGET" sheetId="12" state="visible" r:id="rId12"/>
    <sheet name="Contacts" sheetId="13" state="visible" r:id="rId13"/>
    <sheet name="Guest List" sheetId="14" state="visible" r:id="rId14"/>
    <sheet name="Seating Plan" sheetId="15" state="visible" r:id="rId15"/>
    <sheet name="Wedding Party" sheetId="16" state="visible" r:id="rId16"/>
    <sheet name="Food &amp; Drinks" sheetId="17" state="visible" r:id="rId17"/>
    <sheet name="Photoshoot" sheetId="18" state="visible" r:id="rId18"/>
    <sheet name="Photo Gallery" sheetId="19" state="visible" r:id="rId19"/>
    <sheet name="Music" sheetId="20" state="visible" r:id="rId20"/>
    <sheet name="Gifts &amp; Thanks" sheetId="21" state="visible" r:id="rId21"/>
    <sheet name="Honeymoo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435239"/>
      <sz val="20"/>
    </font>
    <font>
      <name val="Calibri"/>
      <b val="1"/>
      <color rgb="00FFFFFF"/>
      <sz val="11"/>
    </font>
    <font>
      <name val="Calibri"/>
      <b val="1"/>
      <color rgb="00435239"/>
      <sz val="10"/>
    </font>
    <font>
      <name val="Calibri"/>
      <color rgb="00333333"/>
      <sz val="10"/>
    </font>
    <font>
      <name val="Calibri"/>
      <b val="1"/>
      <color rgb="00435239"/>
      <sz val="22"/>
    </font>
    <font>
      <name val="Calibri"/>
      <color rgb="00888888"/>
      <sz val="9"/>
    </font>
    <font>
      <name val="Calibri"/>
      <color rgb="00435239"/>
      <sz val="10"/>
      <u val="single"/>
    </font>
    <font>
      <name val="Calibri"/>
      <b val="1"/>
      <color rgb="00FFFFFF"/>
      <sz val="10"/>
      <u val="single"/>
    </font>
    <font>
      <name val="Calibri"/>
      <color rgb="00333333"/>
      <sz val="11"/>
    </font>
    <font>
      <name val="Calibri"/>
      <b val="1"/>
      <color rgb="00435239"/>
      <sz val="12"/>
    </font>
    <font>
      <name val="Calibri"/>
      <i val="1"/>
      <color rgb="00888888"/>
      <sz val="9"/>
    </font>
    <font>
      <name val="Calibri"/>
      <b val="1"/>
      <color rgb="00435239"/>
      <sz val="9"/>
    </font>
    <font>
      <name val="Calibri"/>
      <b val="1"/>
      <color rgb="00999999"/>
      <sz val="8"/>
    </font>
    <font>
      <name val="Calibri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768975"/>
      </patternFill>
    </fill>
    <fill>
      <patternFill patternType="solid">
        <fgColor rgb="00E8D7D0"/>
      </patternFill>
    </fill>
    <fill>
      <patternFill patternType="solid">
        <fgColor rgb="00FFFDF7"/>
      </patternFill>
    </fill>
    <fill>
      <patternFill patternType="solid">
        <fgColor rgb="00FFFFFF"/>
      </patternFill>
    </fill>
    <fill>
      <patternFill patternType="solid">
        <fgColor rgb="00E4E1D8"/>
      </patternFill>
    </fill>
    <fill>
      <patternFill patternType="solid">
        <fgColor rgb="00FFFBFD"/>
      </patternFill>
    </fill>
    <fill>
      <patternFill patternType="solid">
        <fgColor rgb="00F1F0ED"/>
      </patternFill>
    </fill>
  </fills>
  <borders count="15">
    <border>
      <left/>
      <right/>
      <top/>
      <bottom/>
      <diagonal/>
    </border>
    <border/>
    <border>
      <bottom style="thin">
        <color rgb="00768975"/>
      </bottom>
    </border>
    <border>
      <bottom style="thin">
        <color rgb="00E4E1D8"/>
      </bottom>
    </border>
    <border>
      <top style="thin">
        <color rgb="00768975"/>
      </top>
      <bottom style="double">
        <color rgb="00768975"/>
      </bottom>
    </border>
    <border>
      <left style="thin">
        <color rgb="00E4E1D8"/>
      </left>
      <right style="thin">
        <color rgb="00E4E1D8"/>
      </right>
      <top style="thin">
        <color rgb="00E4E1D8"/>
      </top>
      <bottom style="thin">
        <color rgb="00C7A491"/>
      </bottom>
    </border>
    <border>
      <right/>
      <bottom/>
    </border>
    <border>
      <right/>
      <bottom style="thin">
        <color rgb="00E4E1D8"/>
      </bottom>
    </border>
    <border>
      <left/>
      <right/>
      <top/>
      <bottom style="thin">
        <color rgb="00E4E1D8"/>
      </bottom>
      <diagonal/>
    </border>
    <border>
      <left/>
      <right/>
      <top style="thin">
        <color rgb="00E4E1D8"/>
      </top>
      <bottom/>
      <diagonal/>
    </border>
    <border>
      <left/>
      <right style="thin">
        <color rgb="00E4E1D8"/>
      </right>
      <top style="thin">
        <color rgb="00E4E1D8"/>
      </top>
      <bottom/>
      <diagonal/>
    </border>
    <border>
      <left/>
      <right/>
      <top style="thin">
        <color rgb="00E4E1D8"/>
      </top>
      <bottom style="thin">
        <color rgb="00C7A491"/>
      </bottom>
      <diagonal/>
    </border>
    <border>
      <left/>
      <right style="thin">
        <color rgb="00E4E1D8"/>
      </right>
      <top style="thin">
        <color rgb="00E4E1D8"/>
      </top>
      <bottom style="thin">
        <color rgb="00C7A491"/>
      </bottom>
      <diagonal/>
    </border>
    <border>
      <left style="thin">
        <color rgb="00E4E1D8"/>
      </left>
      <right style="thin">
        <color rgb="00E4E1D8"/>
      </right>
      <top style="medium">
        <color rgb="00768975"/>
      </top>
    </border>
    <border>
      <left style="thin">
        <color rgb="00E4E1D8"/>
      </left>
      <right style="thin">
        <color rgb="00E4E1D8"/>
      </right>
      <top style="thin">
        <color rgb="00E4E1D8"/>
      </top>
      <bottom style="thin">
        <color rgb="00E4E1D8"/>
      </bottom>
    </border>
  </borders>
  <cellStyleXfs count="15">
    <xf numFmtId="0" fontId="0" fillId="0" borderId="0"/>
    <xf numFmtId="0" fontId="1" fillId="0" borderId="1" applyAlignment="1">
      <alignment vertical="center"/>
    </xf>
    <xf numFmtId="0" fontId="2" fillId="2" borderId="1" applyAlignment="1">
      <alignment horizontal="left" vertical="center" indent="1"/>
    </xf>
    <xf numFmtId="0" fontId="3" fillId="3" borderId="2" applyAlignment="1">
      <alignment horizontal="center" vertical="center" wrapText="1"/>
    </xf>
    <xf numFmtId="0" fontId="4" fillId="4" borderId="3" applyAlignment="1">
      <alignment vertical="center"/>
    </xf>
    <xf numFmtId="0" fontId="4" fillId="5" borderId="3" applyAlignment="1">
      <alignment vertical="center"/>
    </xf>
    <xf numFmtId="0" fontId="5" fillId="0" borderId="1" applyAlignment="1">
      <alignment horizontal="center" vertical="center"/>
    </xf>
    <xf numFmtId="0" fontId="6" fillId="0" borderId="1" applyAlignment="1">
      <alignment horizontal="center" vertical="center"/>
    </xf>
    <xf numFmtId="0" fontId="3" fillId="6" borderId="4"/>
    <xf numFmtId="0" fontId="7" fillId="7" borderId="1" applyAlignment="1">
      <alignment vertical="center" indent="1"/>
    </xf>
    <xf numFmtId="0" fontId="8" fillId="2" borderId="1" applyAlignment="1">
      <alignment vertical="center" indent="1"/>
    </xf>
    <xf numFmtId="0" fontId="9" fillId="4" borderId="5" applyAlignment="1">
      <alignment vertical="center"/>
    </xf>
    <xf numFmtId="0" fontId="3" fillId="3" borderId="3" applyAlignment="1">
      <alignment vertical="center" indent="1"/>
    </xf>
    <xf numFmtId="0" fontId="10" fillId="0" borderId="1" applyAlignment="1">
      <alignment vertical="center"/>
    </xf>
    <xf numFmtId="0" fontId="11" fillId="0" borderId="1" applyAlignment="1">
      <alignment vertical="center"/>
    </xf>
  </cellStyleXfs>
  <cellXfs count="35">
    <xf numFmtId="0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2" fillId="7" borderId="0" applyAlignment="1" pivotButton="0" quotePrefix="0" xfId="0">
      <alignment horizontal="center" vertical="center"/>
    </xf>
    <xf numFmtId="0" fontId="1" fillId="0" borderId="6" applyAlignment="1" pivotButton="0" quotePrefix="0" xfId="1">
      <alignment vertical="center"/>
    </xf>
    <xf numFmtId="0" fontId="13" fillId="7" borderId="0" pivotButton="0" quotePrefix="0" xfId="0"/>
    <xf numFmtId="0" fontId="2" fillId="2" borderId="1" applyAlignment="1" pivotButton="0" quotePrefix="0" xfId="2">
      <alignment horizontal="left" vertical="center" indent="1"/>
    </xf>
    <xf numFmtId="0" fontId="8" fillId="2" borderId="1" applyAlignment="1" pivotButton="0" quotePrefix="0" xfId="10">
      <alignment vertical="center" indent="1"/>
    </xf>
    <xf numFmtId="0" fontId="14" fillId="8" borderId="0" pivotButton="0" quotePrefix="0" xfId="0"/>
    <xf numFmtId="0" fontId="7" fillId="7" borderId="1" applyAlignment="1" pivotButton="0" quotePrefix="0" xfId="9">
      <alignment vertical="center" indent="1"/>
    </xf>
    <xf numFmtId="0" fontId="3" fillId="3" borderId="7" applyAlignment="1" pivotButton="0" quotePrefix="0" xfId="12">
      <alignment vertical="center" indent="1"/>
    </xf>
    <xf numFmtId="0" fontId="0" fillId="0" borderId="8" pivotButton="0" quotePrefix="0" xfId="0"/>
    <xf numFmtId="0" fontId="9" fillId="4" borderId="5" applyAlignment="1" pivotButton="0" quotePrefix="0" xfId="1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9" fillId="4" borderId="5" applyAlignment="1" pivotButton="0" quotePrefix="0" xfId="11">
      <alignment vertical="center"/>
    </xf>
    <xf numFmtId="3" fontId="9" fillId="4" borderId="5" applyAlignment="1" pivotButton="0" quotePrefix="0" xfId="11">
      <alignment vertical="center"/>
    </xf>
    <xf numFmtId="0" fontId="3" fillId="3" borderId="2" applyAlignment="1" pivotButton="0" quotePrefix="0" xfId="3">
      <alignment horizontal="center" vertical="center" wrapText="1"/>
    </xf>
    <xf numFmtId="0" fontId="4" fillId="4" borderId="3" applyAlignment="1" pivotButton="0" quotePrefix="0" xfId="4">
      <alignment vertical="center"/>
    </xf>
    <xf numFmtId="0" fontId="4" fillId="5" borderId="3" applyAlignment="1" pivotButton="0" quotePrefix="0" xfId="5">
      <alignment vertical="center"/>
    </xf>
    <xf numFmtId="3" fontId="4" fillId="4" borderId="3" applyAlignment="1" pivotButton="0" quotePrefix="0" xfId="4">
      <alignment horizontal="right" vertical="center"/>
    </xf>
    <xf numFmtId="3" fontId="4" fillId="5" borderId="3" applyAlignment="1" pivotButton="0" quotePrefix="0" xfId="5">
      <alignment horizontal="right" vertical="center"/>
    </xf>
    <xf numFmtId="0" fontId="0" fillId="4" borderId="14" pivotButton="0" quotePrefix="0" xfId="0"/>
    <xf numFmtId="165" fontId="5" fillId="4" borderId="14" applyAlignment="1" pivotButton="0" quotePrefix="0" xfId="6">
      <alignment horizontal="center" vertical="center"/>
    </xf>
    <xf numFmtId="3" fontId="5" fillId="4" borderId="14" applyAlignment="1" pivotButton="0" quotePrefix="0" xfId="6">
      <alignment horizontal="center" vertical="center"/>
    </xf>
    <xf numFmtId="0" fontId="6" fillId="4" borderId="14" applyAlignment="1" pivotButton="0" quotePrefix="0" xfId="7">
      <alignment horizontal="center" vertical="center"/>
    </xf>
    <xf numFmtId="0" fontId="10" fillId="0" borderId="1" applyAlignment="1" pivotButton="0" quotePrefix="0" xfId="13">
      <alignment vertical="center"/>
    </xf>
    <xf numFmtId="0" fontId="11" fillId="0" borderId="1" applyAlignment="1" pivotButton="0" quotePrefix="0" xfId="14">
      <alignment vertical="center"/>
    </xf>
    <xf numFmtId="3" fontId="0" fillId="8" borderId="0" pivotButton="0" quotePrefix="0" xfId="0"/>
    <xf numFmtId="0" fontId="4" fillId="4" borderId="3" applyAlignment="1" pivotButton="0" quotePrefix="0" xfId="4">
      <alignment horizontal="right" vertical="center"/>
    </xf>
    <xf numFmtId="0" fontId="4" fillId="5" borderId="3" applyAlignment="1" pivotButton="0" quotePrefix="0" xfId="5">
      <alignment horizontal="right" vertical="center"/>
    </xf>
    <xf numFmtId="3" fontId="4" fillId="4" borderId="3" applyAlignment="1" pivotButton="0" quotePrefix="0" xfId="4">
      <alignment vertical="center"/>
    </xf>
    <xf numFmtId="3" fontId="4" fillId="5" borderId="3" applyAlignment="1" pivotButton="0" quotePrefix="0" xfId="5">
      <alignment vertical="center"/>
    </xf>
    <xf numFmtId="0" fontId="3" fillId="6" borderId="4" pivotButton="0" quotePrefix="0" xfId="8"/>
    <xf numFmtId="3" fontId="3" fillId="6" borderId="4" pivotButton="0" quotePrefix="0" xfId="8"/>
  </cellXfs>
  <cellStyles count="15">
    <cellStyle name="Normal" xfId="0" builtinId="0" hidden="0"/>
    <cellStyle name="title" xfId="1" hidden="0"/>
    <cellStyle name="section_header" xfId="2" hidden="0"/>
    <cellStyle name="col_header" xfId="3" hidden="0"/>
    <cellStyle name="data_cell" xfId="4" hidden="0"/>
    <cellStyle name="data_alt" xfId="5" hidden="0"/>
    <cellStyle name="kpi_value" xfId="6" hidden="0"/>
    <cellStyle name="kpi_label" xfId="7" hidden="0"/>
    <cellStyle name="total_row" xfId="8" hidden="0"/>
    <cellStyle name="sidebar_link" xfId="9" hidden="0"/>
    <cellStyle name="sidebar_active" xfId="10" hidden="0"/>
    <cellStyle name="input_cell" xfId="11" hidden="0"/>
    <cellStyle name="label_cell" xfId="12" hidden="0"/>
    <cellStyle name="chart_title" xfId="13" hidden="0"/>
    <cellStyle name="chart_sub" xfId="14" hidden="0"/>
  </cellStyles>
  <dxfs count="3">
    <dxf>
      <fill>
        <patternFill>
          <fgColor rgb="00768975"/>
        </patternFill>
      </fill>
    </dxf>
    <dxf>
      <fill>
        <patternFill>
          <fgColor rgb="00C7A491"/>
        </patternFill>
      </fill>
    </dxf>
    <dxf>
      <fill>
        <patternFill>
          <fgColor rgb="00DFB9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'DASHBOARD'!E69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5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6"/>
            <spPr>
              <a:solidFill>
                <a:srgbClr val="5B6B50"/>
              </a:solidFill>
              <a:ln>
                <a:prstDash val="solid"/>
              </a:ln>
            </spPr>
          </dPt>
          <dPt>
            <idx val="7"/>
            <spPr>
              <a:solidFill>
                <a:srgbClr val="9BA898"/>
              </a:solidFill>
              <a:ln>
                <a:prstDash val="solid"/>
              </a:ln>
            </spPr>
          </dPt>
          <dPt>
            <idx val="8"/>
            <spPr>
              <a:solidFill>
                <a:srgbClr val="B89078"/>
              </a:solidFill>
              <a:ln>
                <a:prstDash val="solid"/>
              </a:ln>
            </spPr>
          </dPt>
          <dPt>
            <idx val="9"/>
            <spPr>
              <a:solidFill>
                <a:srgbClr val="D4A89D"/>
              </a:solidFill>
              <a:ln>
                <a:prstDash val="solid"/>
              </a:ln>
            </spPr>
          </dPt>
          <cat>
            <numRef>
              <f>'DASHBOARD'!$D$69:$D$79</f>
            </numRef>
          </cat>
          <val>
            <numRef>
              <f>'DASHBOARD'!$E$70:$E$79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RSVP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'DASHBOARD'!H69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cat>
            <numRef>
              <f>'DASHBOARD'!$G$69:$G$73</f>
            </numRef>
          </cat>
          <val>
            <numRef>
              <f>'DASHBOARD'!$H$70:$H$73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Spending ($)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'DASHBOARD'!K69</f>
            </strRef>
          </tx>
          <spPr>
            <a:ln w="22000">
              <a:solidFill>
                <a:srgbClr val="4352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'DASHBOARD'!$J$70:$J$81</f>
            </numRef>
          </cat>
          <val>
            <numRef>
              <f>'DASHBOARD'!$K$70:$K$81</f>
            </numRef>
          </val>
          <smooth val="1"/>
        </ser>
        <dLbls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Task Progress</a:t>
            </a:r>
          </a:p>
        </rich>
      </tx>
    </title>
    <plotArea>
      <pieChart>
        <varyColors val="1"/>
        <ser>
          <idx val="0"/>
          <order val="0"/>
          <tx>
            <strRef>
              <f>'DASHBOARD'!N69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cat>
            <numRef>
              <f>'DASHBOARD'!$M$69:$M$72</f>
            </numRef>
          </cat>
          <val>
            <numRef>
              <f>'DASHBOARD'!$N$70:$N$72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'DASHBOARD'!E83</f>
            </strRef>
          </tx>
          <spPr>
            <a:solidFill>
              <a:srgbClr val="435239"/>
            </a:solidFill>
            <a:ln>
              <a:prstDash val="solid"/>
            </a:ln>
          </spPr>
          <cat>
            <numRef>
              <f>'DASHBOARD'!$D$84:$D$93</f>
            </numRef>
          </cat>
          <val>
            <numRef>
              <f>'DASHBOARD'!$E$84:$E$93</f>
            </numRef>
          </val>
        </ser>
        <ser>
          <idx val="1"/>
          <order val="1"/>
          <tx>
            <strRef>
              <f>'DASHBOARD'!F83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'DASHBOARD'!$D$84:$D$93</f>
            </numRef>
          </cat>
          <val>
            <numRef>
              <f>'DASHBOARD'!$F$84:$F$93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Meal Preferences</a:t>
            </a:r>
          </a:p>
        </rich>
      </tx>
    </title>
    <plotArea>
      <pieChart>
        <varyColors val="1"/>
        <ser>
          <idx val="0"/>
          <order val="0"/>
          <tx>
            <strRef>
              <f>'DASHBOARD'!H83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cat>
            <numRef>
              <f>'DASHBOARD'!$G$83:$G$88</f>
            </numRef>
          </cat>
          <val>
            <numRef>
              <f>'DASHBOARD'!$H$84:$H$88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Task Status</a:t>
            </a:r>
          </a:p>
        </rich>
      </tx>
    </title>
    <plotArea>
      <pieChart>
        <varyColors val="1"/>
        <ser>
          <idx val="0"/>
          <order val="0"/>
          <tx>
            <strRef>
              <f>'Timeline'!E19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cat>
            <numRef>
              <f>'Timeline'!$D$19:$D$22</f>
            </numRef>
          </cat>
          <val>
            <numRef>
              <f>'Timeline'!$E$20:$E$22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Priority Mix</a:t>
            </a:r>
          </a:p>
        </rich>
      </tx>
    </title>
    <plotArea>
      <pieChart>
        <varyColors val="1"/>
        <ser>
          <idx val="0"/>
          <order val="0"/>
          <tx>
            <strRef>
              <f>'Timeline'!H19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cat>
            <numRef>
              <f>'Timeline'!$G$19:$G$22</f>
            </numRef>
          </cat>
          <val>
            <numRef>
              <f>'Timeline'!$H$20:$H$22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Vendor Costs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'Vendors'!I5</f>
            </strRef>
          </tx>
          <spPr>
            <a:solidFill>
              <a:srgbClr val="435239"/>
            </a:solidFill>
            <a:ln>
              <a:prstDash val="solid"/>
            </a:ln>
          </spPr>
          <cat>
            <numRef>
              <f>'Vendors'!$D$5:$D$10</f>
            </numRef>
          </cat>
          <val>
            <numRef>
              <f>'Vendors'!$I$6:$I$10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'BUDGET'!E19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5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6"/>
            <spPr>
              <a:solidFill>
                <a:srgbClr val="5B6B50"/>
              </a:solidFill>
              <a:ln>
                <a:prstDash val="solid"/>
              </a:ln>
            </spPr>
          </dPt>
          <dPt>
            <idx val="7"/>
            <spPr>
              <a:solidFill>
                <a:srgbClr val="9BA898"/>
              </a:solidFill>
              <a:ln>
                <a:prstDash val="solid"/>
              </a:ln>
            </spPr>
          </dPt>
          <dPt>
            <idx val="8"/>
            <spPr>
              <a:solidFill>
                <a:srgbClr val="B89078"/>
              </a:solidFill>
              <a:ln>
                <a:prstDash val="solid"/>
              </a:ln>
            </spPr>
          </dPt>
          <dPt>
            <idx val="9"/>
            <spPr>
              <a:solidFill>
                <a:srgbClr val="D4A89D"/>
              </a:solidFill>
              <a:ln>
                <a:prstDash val="solid"/>
              </a:ln>
            </spPr>
          </dPt>
          <cat>
            <numRef>
              <f>'BUDGET'!$D$19:$D$29</f>
            </numRef>
          </cat>
          <val>
            <numRef>
              <f>'BUDGET'!$E$20:$E$29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Spending ($)</a:t>
            </a:r>
          </a:p>
        </rich>
      </tx>
    </title>
    <plotArea>
      <lineChart>
        <grouping val="standard"/>
        <ser>
          <idx val="0"/>
          <order val="0"/>
          <tx>
            <strRef>
              <f>'BUDGET'!H19</f>
            </strRef>
          </tx>
          <spPr>
            <a:ln w="22000">
              <a:solidFill>
                <a:srgbClr val="4352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'BUDGET'!$G$20:$G$31</f>
            </numRef>
          </cat>
          <val>
            <numRef>
              <f>'BUDGET'!$H$20:$H$31</f>
            </numRef>
          </val>
          <smooth val="1"/>
        </ser>
        <dLbls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RSVP Status</a:t>
            </a:r>
          </a:p>
        </rich>
      </tx>
    </title>
    <plotArea>
      <pieChart>
        <varyColors val="1"/>
        <ser>
          <idx val="0"/>
          <order val="0"/>
          <tx>
            <strRef>
              <f>'Guest List'!E15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cat>
            <numRef>
              <f>'Guest List'!$D$15:$D$19</f>
            </numRef>
          </cat>
          <val>
            <numRef>
              <f>'Guest List'!$E$16:$E$19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Meal Choices</a:t>
            </a:r>
          </a:p>
        </rich>
      </tx>
    </title>
    <plotArea>
      <pieChart>
        <varyColors val="1"/>
        <ser>
          <idx val="0"/>
          <order val="0"/>
          <tx>
            <strRef>
              <f>'Guest List'!H15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cat>
            <numRef>
              <f>'Guest List'!$G$15:$G$20</f>
            </numRef>
          </cat>
          <val>
            <numRef>
              <f>'Guest List'!$H$16:$H$20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Party Split</a:t>
            </a:r>
          </a:p>
        </rich>
      </tx>
    </title>
    <plotArea>
      <pieChart>
        <varyColors val="1"/>
        <ser>
          <idx val="0"/>
          <order val="0"/>
          <tx>
            <strRef>
              <f>'Guest List'!K15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cat>
            <numRef>
              <f>'Guest List'!$J$15:$J$17</f>
            </numRef>
          </cat>
          <val>
            <numRef>
              <f>'Guest List'!$K$16:$K$17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Category</a:t>
            </a:r>
          </a:p>
        </rich>
      </tx>
    </title>
    <plotArea>
      <pieChart>
        <varyColors val="1"/>
        <ser>
          <idx val="0"/>
          <order val="0"/>
          <tx>
            <strRef>
              <f>'Food &amp; Drinks'!E16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cat>
            <numRef>
              <f>'Food &amp; Drinks'!$D$16:$D$19</f>
            </numRef>
          </cat>
          <val>
            <numRef>
              <f>'Food &amp; Drinks'!$E$17:$E$19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Dietary Needs</a:t>
            </a:r>
          </a:p>
        </rich>
      </tx>
    </title>
    <plotArea>
      <pieChart>
        <varyColors val="1"/>
        <ser>
          <idx val="0"/>
          <order val="0"/>
          <tx>
            <strRef>
              <f>'Food &amp; Drinks'!H16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cat>
            <numRef>
              <f>'Food &amp; Drinks'!$G$16:$G$21</f>
            </numRef>
          </cat>
          <val>
            <numRef>
              <f>'Food &amp; Drinks'!$H$17:$H$21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Thank You Status</a:t>
            </a:r>
          </a:p>
        </rich>
      </tx>
    </title>
    <plotArea>
      <pieChart>
        <varyColors val="1"/>
        <ser>
          <idx val="0"/>
          <order val="0"/>
          <tx>
            <strRef>
              <f>'Gifts &amp; Thanks'!E15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cat>
            <numRef>
              <f>'Gifts &amp; Thanks'!$D$15:$D$18</f>
            </numRef>
          </cat>
          <val>
            <numRef>
              <f>'Gifts &amp; Thanks'!$E$16:$E$18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'Honeymoon'!E21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35239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3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5"/>
            <spPr>
              <a:solidFill>
                <a:srgbClr val="E4E1D8"/>
              </a:solidFill>
              <a:ln>
                <a:prstDash val="solid"/>
              </a:ln>
            </spPr>
          </dPt>
          <cat>
            <numRef>
              <f>'Honeymoon'!$D$21:$D$27</f>
            </numRef>
          </cat>
          <val>
            <numRef>
              <f>'Honeymoon'!$E$22:$E$27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'Honeymoon'!E21</f>
            </strRef>
          </tx>
          <spPr>
            <a:solidFill>
              <a:srgbClr val="435239"/>
            </a:solidFill>
            <a:ln>
              <a:prstDash val="solid"/>
            </a:ln>
          </spPr>
          <cat>
            <numRef>
              <f>'Honeymoon'!$D$22:$D$27</f>
            </numRef>
          </cat>
          <val>
            <numRef>
              <f>'Honeymoon'!$E$22:$E$27</f>
            </numRef>
          </val>
        </ser>
        <ser>
          <idx val="1"/>
          <order val="1"/>
          <tx>
            <strRef>
              <f>'Honeymoon'!H21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'Honeymoon'!$D$22:$D$27</f>
            </numRef>
          </cat>
          <val>
            <numRef>
              <f>'Honeymoon'!$H$22:$H$27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29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29</row>
      <rowOff>0</rowOff>
    </from>
    <ext cx="46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49</row>
      <rowOff>0</rowOff>
    </from>
    <ext cx="468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49</row>
      <rowOff>0</rowOff>
    </from>
    <ext cx="468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34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23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23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43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30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30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1.xml" Id="rId23" /></Relationships>
</file>

<file path=xl/worksheets/_rels/sheet6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7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2.xml" Id="rId23" /></Relationships>
</file>

<file path=xl/worksheets/_rels/sheet8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0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3.xml" Id="rId23" /></Relationships>
</file>

<file path=xl/worksheets/_rels/sheet1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4.xml" Id="rId23" /></Relationships>
</file>

<file path=xl/worksheets/_rels/sheet13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5.xml" Id="rId23" /></Relationships>
</file>

<file path=xl/worksheets/_rels/sheet15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6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7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6.xml" Id="rId23" /></Relationships>
</file>

<file path=xl/worksheets/_rels/sheet18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19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20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/Relationships>
</file>

<file path=xl/worksheets/_rels/sheet2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7.xml" Id="rId23" /></Relationships>
</file>

<file path=xl/worksheets/_rels/sheet2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Save the Date'!D2" TargetMode="External" Id="rId4" /><Relationship Type="http://schemas.openxmlformats.org/officeDocument/2006/relationships/hyperlink" Target="#'Theme'!D2" TargetMode="External" Id="rId5" /><Relationship Type="http://schemas.openxmlformats.org/officeDocument/2006/relationships/hyperlink" Target="#'Calendar'!D2" TargetMode="External" Id="rId6" /><Relationship Type="http://schemas.openxmlformats.org/officeDocument/2006/relationships/hyperlink" Target="#'Timeline'!D2" TargetMode="External" Id="rId7" /><Relationship Type="http://schemas.openxmlformats.org/officeDocument/2006/relationships/hyperlink" Target="#'Itinerary'!D2" TargetMode="External" Id="rId8" /><Relationship Type="http://schemas.openxmlformats.org/officeDocument/2006/relationships/hyperlink" Target="#'Packing List'!D2" TargetMode="External" Id="rId9" /><Relationship Type="http://schemas.openxmlformats.org/officeDocument/2006/relationships/hyperlink" Target="#'Vendors'!D2" TargetMode="External" Id="rId10" /><Relationship Type="http://schemas.openxmlformats.org/officeDocument/2006/relationships/hyperlink" Target="#'Venues'!D2" TargetMode="External" Id="rId11" /><Relationship Type="http://schemas.openxmlformats.org/officeDocument/2006/relationships/hyperlink" Target="#'Contacts'!D2" TargetMode="External" Id="rId12" /><Relationship Type="http://schemas.openxmlformats.org/officeDocument/2006/relationships/hyperlink" Target="#'BUDGET'!D2" TargetMode="External" Id="rId13" /><Relationship Type="http://schemas.openxmlformats.org/officeDocument/2006/relationships/hyperlink" Target="#'Honeymoon'!D2" TargetMode="External" Id="rId14" /><Relationship Type="http://schemas.openxmlformats.org/officeDocument/2006/relationships/hyperlink" Target="#'Guest List'!D2" TargetMode="External" Id="rId15" /><Relationship Type="http://schemas.openxmlformats.org/officeDocument/2006/relationships/hyperlink" Target="#'Seating Plan'!D2" TargetMode="External" Id="rId16" /><Relationship Type="http://schemas.openxmlformats.org/officeDocument/2006/relationships/hyperlink" Target="#'Wedding Party'!D2" TargetMode="External" Id="rId17" /><Relationship Type="http://schemas.openxmlformats.org/officeDocument/2006/relationships/hyperlink" Target="#'Food &amp; Drinks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Photoshoot'!D2" TargetMode="External" Id="rId20" /><Relationship Type="http://schemas.openxmlformats.org/officeDocument/2006/relationships/hyperlink" Target="#'Photo Gallery'!D2" TargetMode="External" Id="rId21" /><Relationship Type="http://schemas.openxmlformats.org/officeDocument/2006/relationships/hyperlink" Target="#'Gifts &amp; Thanks'!D2" TargetMode="External" Id="rId22" /><Relationship Type="http://schemas.openxmlformats.org/officeDocument/2006/relationships/drawing" Target="/xl/drawings/drawing8.xml" Id="rId23" /></Relationships>
</file>

<file path=xl/worksheets/sheet1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HOW TO USE YOUR WEDDING PLANNER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GETTING STARTED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7" t="inlineStr">
        <is>
          <t>Instructions</t>
        </is>
      </c>
      <c r="C5" s="2" t="n"/>
      <c r="D5" s="8" t="inlineStr">
        <is>
          <t>Start with the SETUP tab — enter your names, wedding date, and total budget.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8" t="inlineStr">
        <is>
          <t>All other tabs auto-populate key details (countdown, currency) from SETUP.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8" t="inlineStr">
        <is>
          <t>Navigate between tabs using the sidebar links on the left of every page.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24" customHeight="1">
      <c r="A9" s="1" t="n"/>
      <c r="B9" s="5" t="inlineStr">
        <is>
          <t>PLANNING</t>
        </is>
      </c>
      <c r="C9" s="2" t="n"/>
      <c r="D9" s="6" t="inlineStr">
        <is>
          <t>ENTERING YOUR DATA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8" t="inlineStr">
        <is>
          <t>Sample data is pre-filled in the first 3-5 rows of each tab as examples.</t>
        </is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8" t="inlineStr">
        <is>
          <t>Replace the sample data with your own information.</t>
        </is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8" t="inlineStr">
        <is>
          <t>Use dropdown menus wherever you see them — they keep data consistent.</t>
        </is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8" t="inlineStr">
        <is>
          <t>Formulas update automatically as you enter data.</t>
        </is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24" customHeight="1">
      <c r="A15" s="1" t="n"/>
      <c r="B15" s="5" t="inlineStr">
        <is>
          <t>DAY OF</t>
        </is>
      </c>
      <c r="C15" s="2" t="n"/>
      <c r="D15" s="6" t="inlineStr">
        <is>
          <t>DASHBOARD &amp; CHARTS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8" t="inlineStr">
        <is>
          <t>The DASHBOARD tab gives you a visual overview of your entire wedding plan.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8" t="inlineStr">
        <is>
          <t>Charts auto-update as you enter data in each tab.</t>
        </is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8" t="inlineStr">
        <is>
          <t>Additional charts appear on Budget, Guest List, Timeline, and other tabs.</t>
        </is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8" t="inlineStr">
        <is>
          <t>Each chart has a header explaining exactly what it tracks.</t>
        </is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24" customHeight="1">
      <c r="A21" s="1" t="n"/>
      <c r="B21" s="9" t="inlineStr">
        <is>
          <t>Venues</t>
        </is>
      </c>
      <c r="C21" s="2" t="n"/>
      <c r="D21" s="6" t="inlineStr">
        <is>
          <t>CUSTOMIZATION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8" t="inlineStr">
        <is>
          <t>Change colors: Home &gt; Cell Styles or modify fill colors.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8" t="inlineStr">
        <is>
          <t>Add more rows: insert rows ABOVE the total/summary row.</t>
        </is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8" t="inlineStr">
        <is>
          <t>Add tabs: right-click any tab &gt; Insert &gt; copy structure from existing.</t>
        </is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24" customHeight="1">
      <c r="A26" s="1" t="n"/>
      <c r="B26" s="9" t="inlineStr">
        <is>
          <t>Honeymoon</t>
        </is>
      </c>
      <c r="C26" s="2" t="n"/>
      <c r="D26" s="6" t="inlineStr">
        <is>
          <t>TIPS FOR BEST RESULTS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8" t="inlineStr">
        <is>
          <t>Fill in the Budget tab early — the Dashboard tracks spending automatically.</t>
        </is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8" t="inlineStr">
        <is>
          <t>Update the Timeline tab weekly to keep your planning on track.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8" t="inlineStr">
        <is>
          <t>Use the Guest List tab consistently — it feeds the Seating Plan and Food tabs.</t>
        </is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8" t="inlineStr">
        <is>
          <t>The Vendors tab helps you compare quotes side by side before booking.</t>
        </is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4">
    <mergeCell ref="D2:L2"/>
    <mergeCell ref="D26:K26"/>
    <mergeCell ref="D19:N19"/>
    <mergeCell ref="D10:N10"/>
    <mergeCell ref="D22:N22"/>
    <mergeCell ref="D6:N6"/>
    <mergeCell ref="D21:K21"/>
    <mergeCell ref="D11:N11"/>
    <mergeCell ref="D27:N27"/>
    <mergeCell ref="D13:N13"/>
    <mergeCell ref="D17:N17"/>
    <mergeCell ref="D16:N16"/>
    <mergeCell ref="D7:N7"/>
    <mergeCell ref="D28:N28"/>
    <mergeCell ref="D18:N18"/>
    <mergeCell ref="D4:K4"/>
    <mergeCell ref="D9:K9"/>
    <mergeCell ref="D12:N12"/>
    <mergeCell ref="D15:K15"/>
    <mergeCell ref="D30:N30"/>
    <mergeCell ref="D24:N24"/>
    <mergeCell ref="D5:N5"/>
    <mergeCell ref="D29:N29"/>
    <mergeCell ref="D23:N23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SETUP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WEDDING DETAILS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0" t="inlineStr">
        <is>
          <t>Partner 1 Name</t>
        </is>
      </c>
      <c r="E5" s="11" t="n"/>
      <c r="F5" s="11" t="n"/>
      <c r="G5" s="12" t="inlineStr">
        <is>
          <t>Sarah</t>
        </is>
      </c>
      <c r="H5" s="13" t="n"/>
      <c r="I5" s="13" t="n"/>
      <c r="J5" s="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7" t="inlineStr">
        <is>
          <t>SETUP</t>
        </is>
      </c>
      <c r="C6" s="2" t="n"/>
      <c r="D6" s="10" t="inlineStr">
        <is>
          <t>Wedding Date</t>
        </is>
      </c>
      <c r="E6" s="11" t="n"/>
      <c r="F6" s="11" t="n"/>
      <c r="G6" s="15" t="inlineStr">
        <is>
          <t>2025-09-15</t>
        </is>
      </c>
      <c r="H6" s="13" t="n"/>
      <c r="I6" s="13" t="n"/>
      <c r="J6" s="14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0" t="inlineStr">
        <is>
          <t>Partner 2 Name</t>
        </is>
      </c>
      <c r="E7" s="11" t="n"/>
      <c r="F7" s="11" t="n"/>
      <c r="G7" s="12" t="inlineStr">
        <is>
          <t>Michael</t>
        </is>
      </c>
      <c r="H7" s="13" t="n"/>
      <c r="I7" s="13" t="n"/>
      <c r="J7" s="14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0" t="inlineStr">
        <is>
          <t>Venue Name</t>
        </is>
      </c>
      <c r="E8" s="11" t="n"/>
      <c r="F8" s="11" t="n"/>
      <c r="G8" s="12" t="inlineStr">
        <is>
          <t>Rosewood Gardens</t>
        </is>
      </c>
      <c r="H8" s="13" t="n"/>
      <c r="I8" s="13" t="n"/>
      <c r="J8" s="14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0" t="inlineStr">
        <is>
          <t>Total Budget</t>
        </is>
      </c>
      <c r="E9" s="11" t="n"/>
      <c r="F9" s="11" t="n"/>
      <c r="G9" s="16" t="n">
        <v>45000</v>
      </c>
      <c r="H9" s="13" t="n"/>
      <c r="I9" s="13" t="n"/>
      <c r="J9" s="14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0" t="inlineStr">
        <is>
          <t>Currency</t>
        </is>
      </c>
      <c r="E10" s="11" t="n"/>
      <c r="F10" s="11" t="n"/>
      <c r="G10" s="12" t="inlineStr">
        <is>
          <t>USD</t>
        </is>
      </c>
      <c r="H10" s="13" t="n"/>
      <c r="I10" s="13" t="n"/>
      <c r="J10" s="14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0" t="inlineStr">
        <is>
          <t>Estimated Guests</t>
        </is>
      </c>
      <c r="E11" s="11" t="n"/>
      <c r="F11" s="11" t="n"/>
      <c r="G11" s="12" t="n">
        <v>150</v>
      </c>
      <c r="H11" s="13" t="n"/>
      <c r="I11" s="13" t="n"/>
      <c r="J11" s="14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0" t="inlineStr">
        <is>
          <t>Wedding Style</t>
        </is>
      </c>
      <c r="E12" s="11" t="n"/>
      <c r="F12" s="11" t="n"/>
      <c r="G12" s="12" t="inlineStr">
        <is>
          <t>Rustic Elegant</t>
        </is>
      </c>
      <c r="H12" s="13" t="n"/>
      <c r="I12" s="13" t="n"/>
      <c r="J12" s="14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0" t="inlineStr">
        <is>
          <t>Color Theme</t>
        </is>
      </c>
      <c r="E13" s="11" t="n"/>
      <c r="F13" s="11" t="n"/>
      <c r="G13" s="12" t="inlineStr">
        <is>
          <t>Sage &amp; Dusty Rose</t>
        </is>
      </c>
      <c r="H13" s="13" t="n"/>
      <c r="I13" s="13" t="n"/>
      <c r="J13" s="14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0">
    <mergeCell ref="D2:L2"/>
    <mergeCell ref="D11:F11"/>
    <mergeCell ref="D13:F13"/>
    <mergeCell ref="D4:M4"/>
    <mergeCell ref="D7:F7"/>
    <mergeCell ref="G9:J9"/>
    <mergeCell ref="G12:J12"/>
    <mergeCell ref="D12:F12"/>
    <mergeCell ref="D9:F9"/>
    <mergeCell ref="G11:J11"/>
    <mergeCell ref="D8:F8"/>
    <mergeCell ref="D5:F5"/>
    <mergeCell ref="G8:J8"/>
    <mergeCell ref="G7:J7"/>
    <mergeCell ref="G10:J10"/>
    <mergeCell ref="D10:F10"/>
    <mergeCell ref="G6:J6"/>
    <mergeCell ref="G13:J13"/>
    <mergeCell ref="D6:F6"/>
    <mergeCell ref="G5:J5"/>
  </mergeCells>
  <dataValidations count="2">
    <dataValidation sqref="G10" showDropDown="0" showInputMessage="0" showErrorMessage="0" allowBlank="1" errorTitle="Invalid Entry" error="Please select from the dropdown list." type="list">
      <formula1>"USD,EUR,GBP,CAD,AUD,NZD,INR"</formula1>
    </dataValidation>
    <dataValidation sqref="G12" showDropDown="0" showInputMessage="0" showErrorMessage="0" allowBlank="1" errorTitle="Invalid Entry" error="Please select from the dropdown list." type="list">
      <formula1>"Rustic Elegant,Modern Minimalist,Classic Traditional,Bohemian,Garden Party,Beach,Vintage,Glamorous"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SAVE THE DATE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KEY DATES &amp; ANNOUNCEMENTS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Milestone</t>
        </is>
      </c>
      <c r="E5" s="17" t="inlineStr">
        <is>
          <t>Target Date</t>
        </is>
      </c>
      <c r="F5" s="17" t="inlineStr">
        <is>
          <t>Actual Date</t>
        </is>
      </c>
      <c r="G5" s="17" t="inlineStr">
        <is>
          <t>Status</t>
        </is>
      </c>
      <c r="H5" s="17" t="inlineStr">
        <is>
          <t>Notes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Engagement Announcement</t>
        </is>
      </c>
      <c r="E6" s="18" t="inlineStr">
        <is>
          <t>2025-01-01</t>
        </is>
      </c>
      <c r="F6" s="18" t="inlineStr">
        <is>
          <t>2025-01-01</t>
        </is>
      </c>
      <c r="G6" s="18" t="inlineStr">
        <is>
          <t>Complete</t>
        </is>
      </c>
      <c r="H6" s="18" t="inlineStr">
        <is>
          <t>Social media + family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Save the Dates Sent</t>
        </is>
      </c>
      <c r="E7" s="19" t="inlineStr">
        <is>
          <t>2025-03-01</t>
        </is>
      </c>
      <c r="F7" s="19" t="inlineStr">
        <is>
          <t>2025-03-05</t>
        </is>
      </c>
      <c r="G7" s="19" t="inlineStr">
        <is>
          <t>Complete</t>
        </is>
      </c>
      <c r="H7" s="19" t="inlineStr">
        <is>
          <t>Mailed 150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Invitations Sent</t>
        </is>
      </c>
      <c r="E8" s="18" t="inlineStr">
        <is>
          <t>2025-06-01</t>
        </is>
      </c>
      <c r="F8" s="18" t="inlineStr"/>
      <c r="G8" s="18" t="inlineStr">
        <is>
          <t>In Progress</t>
        </is>
      </c>
      <c r="H8" s="18" t="inlineStr">
        <is>
          <t>Design approved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RSVP Deadline</t>
        </is>
      </c>
      <c r="E9" s="19" t="inlineStr">
        <is>
          <t>2025-08-01</t>
        </is>
      </c>
      <c r="F9" s="19" t="inlineStr"/>
      <c r="G9" s="19" t="inlineStr">
        <is>
          <t>Not Started</t>
        </is>
      </c>
      <c r="H9" s="19" t="inlineStr">
        <is>
          <t>6 weeks before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7" t="inlineStr">
        <is>
          <t>Save the Date</t>
        </is>
      </c>
      <c r="C10" s="2" t="n"/>
      <c r="D10" s="18" t="inlineStr">
        <is>
          <t>Final Guest Count</t>
        </is>
      </c>
      <c r="E10" s="18" t="inlineStr">
        <is>
          <t>2025-08-15</t>
        </is>
      </c>
      <c r="F10" s="18" t="inlineStr"/>
      <c r="G10" s="18" t="inlineStr">
        <is>
          <t>Not Started</t>
        </is>
      </c>
      <c r="H10" s="18" t="inlineStr">
        <is>
          <t>Confirm with caterer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M4"/>
  </mergeCells>
  <conditionalFormatting sqref="G6:G30">
    <cfRule type="containsText" priority="1" operator="containsText" dxfId="0" text="Complete">
      <formula>NOT(ISERROR(SEARCH("Complete",G6)))</formula>
    </cfRule>
    <cfRule type="containsText" priority="2" operator="containsText" dxfId="1" text="In Progress">
      <formula>NOT(ISERROR(SEARCH("In Progress",G6)))</formula>
    </cfRule>
    <cfRule type="containsText" priority="3" operator="containsText" dxfId="2" text="Not Started">
      <formula>NOT(ISERROR(SEARCH("Not Started",G6)))</formula>
    </cfRule>
  </conditionalFormatting>
  <dataValidations count="1">
    <dataValidation sqref="G6:G30" showDropDown="0" showInputMessage="0" showErrorMessage="0" allowBlank="1" errorTitle="Invalid Entry" error="Please select from the dropdown list." type="list">
      <formula1>"Complete,In Progress,Not Started"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THEME &amp; STYLE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THEME DETAILS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0" t="inlineStr">
        <is>
          <t>Overall Style</t>
        </is>
      </c>
      <c r="E5" s="11" t="n"/>
      <c r="F5" s="11" t="n"/>
      <c r="G5" s="12">
        <f>SETUP!G12</f>
        <v/>
      </c>
      <c r="H5" s="13" t="n"/>
      <c r="I5" s="13" t="n"/>
      <c r="J5" s="13" t="n"/>
      <c r="K5" s="13" t="n"/>
      <c r="L5" s="14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0" t="inlineStr">
        <is>
          <t>Color Palette</t>
        </is>
      </c>
      <c r="E6" s="11" t="n"/>
      <c r="F6" s="11" t="n"/>
      <c r="G6" s="12">
        <f>SETUP!G13</f>
        <v/>
      </c>
      <c r="H6" s="13" t="n"/>
      <c r="I6" s="13" t="n"/>
      <c r="J6" s="13" t="n"/>
      <c r="K6" s="13" t="n"/>
      <c r="L6" s="14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0" t="inlineStr">
        <is>
          <t>Season</t>
        </is>
      </c>
      <c r="E7" s="11" t="n"/>
      <c r="F7" s="11" t="n"/>
      <c r="G7" s="12" t="inlineStr">
        <is>
          <t>Fall</t>
        </is>
      </c>
      <c r="H7" s="13" t="n"/>
      <c r="I7" s="13" t="n"/>
      <c r="J7" s="13" t="n"/>
      <c r="K7" s="13" t="n"/>
      <c r="L7" s="14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0" t="inlineStr">
        <is>
          <t>Mood / Vibe</t>
        </is>
      </c>
      <c r="E8" s="11" t="n"/>
      <c r="F8" s="11" t="n"/>
      <c r="G8" s="12" t="inlineStr">
        <is>
          <t>Romantic, warm, natural</t>
        </is>
      </c>
      <c r="H8" s="13" t="n"/>
      <c r="I8" s="13" t="n"/>
      <c r="J8" s="13" t="n"/>
      <c r="K8" s="13" t="n"/>
      <c r="L8" s="14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0" t="inlineStr">
        <is>
          <t>Inspiration Sources</t>
        </is>
      </c>
      <c r="E9" s="11" t="n"/>
      <c r="F9" s="11" t="n"/>
      <c r="G9" s="12" t="inlineStr">
        <is>
          <t>Pinterest board, bridal magazines</t>
        </is>
      </c>
      <c r="H9" s="13" t="n"/>
      <c r="I9" s="13" t="n"/>
      <c r="J9" s="13" t="n"/>
      <c r="K9" s="13" t="n"/>
      <c r="L9" s="14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24" customHeight="1">
      <c r="A11" s="1" t="n"/>
      <c r="B11" s="7" t="inlineStr">
        <is>
          <t>Theme</t>
        </is>
      </c>
      <c r="C11" s="2" t="n"/>
      <c r="D11" s="6" t="inlineStr">
        <is>
          <t>DECOR &amp; DETAILS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7" t="inlineStr">
        <is>
          <t>Category</t>
        </is>
      </c>
      <c r="E12" s="17" t="inlineStr">
        <is>
          <t>Description</t>
        </is>
      </c>
      <c r="F12" s="17" t="inlineStr">
        <is>
          <t>Vendor</t>
        </is>
      </c>
      <c r="G12" s="17" t="inlineStr">
        <is>
          <t>Budget</t>
        </is>
      </c>
      <c r="H12" s="17" t="inlineStr">
        <is>
          <t>Status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8" t="inlineStr">
        <is>
          <t>Centerpieces</t>
        </is>
      </c>
      <c r="E13" s="18" t="inlineStr">
        <is>
          <t>Mixed greenery + candles</t>
        </is>
      </c>
      <c r="F13" s="18" t="inlineStr">
        <is>
          <t>Bloom &amp; Wild</t>
        </is>
      </c>
      <c r="G13" s="20" t="n">
        <v>800</v>
      </c>
      <c r="H13" s="18" t="inlineStr">
        <is>
          <t>Booked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9" t="inlineStr">
        <is>
          <t>Lighting</t>
        </is>
      </c>
      <c r="E14" s="19" t="inlineStr">
        <is>
          <t>String lights + lanterns</t>
        </is>
      </c>
      <c r="F14" s="19" t="inlineStr">
        <is>
          <t>EventGlow Co</t>
        </is>
      </c>
      <c r="G14" s="21" t="n">
        <v>600</v>
      </c>
      <c r="H14" s="19" t="inlineStr">
        <is>
          <t>In Progress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8" t="inlineStr">
        <is>
          <t>Linens</t>
        </is>
      </c>
      <c r="E15" s="18" t="inlineStr">
        <is>
          <t>Ivory tablecloths, sage runners</t>
        </is>
      </c>
      <c r="F15" s="18" t="inlineStr">
        <is>
          <t>Linen Library</t>
        </is>
      </c>
      <c r="G15" s="20" t="n">
        <v>400</v>
      </c>
      <c r="H15" s="18" t="inlineStr">
        <is>
          <t>Not Started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19" t="inlineStr">
        <is>
          <t>Signage</t>
        </is>
      </c>
      <c r="E16" s="19" t="inlineStr">
        <is>
          <t>Acrylic welcome sign + table numbers</t>
        </is>
      </c>
      <c r="F16" s="19" t="inlineStr">
        <is>
          <t>Etsy shop</t>
        </is>
      </c>
      <c r="G16" s="21" t="n">
        <v>200</v>
      </c>
      <c r="H16" s="19" t="inlineStr">
        <is>
          <t>Not Started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13">
    <mergeCell ref="D2:L2"/>
    <mergeCell ref="G5:L5"/>
    <mergeCell ref="D5:F5"/>
    <mergeCell ref="D4:M4"/>
    <mergeCell ref="G6:L6"/>
    <mergeCell ref="G9:L9"/>
    <mergeCell ref="D9:F9"/>
    <mergeCell ref="G8:L8"/>
    <mergeCell ref="D11:M11"/>
    <mergeCell ref="D7:F7"/>
    <mergeCell ref="D8:F8"/>
    <mergeCell ref="D6:F6"/>
    <mergeCell ref="G7:L7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ALL-IN-ONE DASHBOARD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15.75" customHeight="1">
      <c r="A4" s="1" t="n"/>
      <c r="B4" s="5" t="inlineStr">
        <is>
          <t>OVERVIEW</t>
        </is>
      </c>
      <c r="C4" s="2" t="n"/>
      <c r="D4" s="22" t="n"/>
      <c r="E4" s="22" t="n"/>
      <c r="F4" s="22" t="n"/>
      <c r="G4" s="2" t="n"/>
      <c r="H4" s="22" t="n"/>
      <c r="I4" s="22" t="n"/>
      <c r="J4" s="22" t="n"/>
      <c r="K4" s="2" t="n"/>
      <c r="L4" s="22" t="n"/>
      <c r="M4" s="22" t="n"/>
      <c r="N4" s="22" t="n"/>
      <c r="O4" s="2" t="n"/>
      <c r="P4" s="22" t="n"/>
      <c r="Q4" s="22" t="n"/>
      <c r="R4" s="2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23">
        <f>SETUP!G9</f>
        <v/>
      </c>
      <c r="E5" s="22" t="n"/>
      <c r="F5" s="22" t="n"/>
      <c r="G5" s="2" t="n"/>
      <c r="H5" s="23">
        <f>SUM(BUDGET!H6:H30)</f>
        <v/>
      </c>
      <c r="I5" s="22" t="n"/>
      <c r="J5" s="22" t="n"/>
      <c r="K5" s="2" t="n"/>
      <c r="L5" s="24">
        <f>COUNTIF('Guest List'!H6:H200,"Attending")</f>
        <v/>
      </c>
      <c r="M5" s="22" t="n"/>
      <c r="N5" s="22" t="n"/>
      <c r="O5" s="2" t="n"/>
      <c r="P5" s="24">
        <f>COUNTIF(Timeline!G6:G100,"Complete")</f>
        <v/>
      </c>
      <c r="Q5" s="22" t="n"/>
      <c r="R5" s="2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25" t="inlineStr">
        <is>
          <t>TOTAL BUDGET</t>
        </is>
      </c>
      <c r="E6" s="22" t="n"/>
      <c r="F6" s="22" t="n"/>
      <c r="G6" s="2" t="n"/>
      <c r="H6" s="25" t="inlineStr">
        <is>
          <t>TOTAL SPENT</t>
        </is>
      </c>
      <c r="I6" s="22" t="n"/>
      <c r="J6" s="22" t="n"/>
      <c r="K6" s="2" t="n"/>
      <c r="L6" s="25" t="inlineStr">
        <is>
          <t>GUESTS ATTENDING</t>
        </is>
      </c>
      <c r="M6" s="22" t="n"/>
      <c r="N6" s="22" t="n"/>
      <c r="O6" s="2" t="n"/>
      <c r="P6" s="25" t="inlineStr">
        <is>
          <t>TASKS COMPLETE</t>
        </is>
      </c>
      <c r="Q6" s="22" t="n"/>
      <c r="R6" s="2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7" t="inlineStr">
        <is>
          <t>DASHBOARD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26" t="inlineStr">
        <is>
          <t>BUDGET ALLOCATION BY CATEGORY</t>
        </is>
      </c>
      <c r="K8" s="2" t="n"/>
      <c r="L8" s="26" t="inlineStr">
        <is>
          <t>GUEST RSVP STATUS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27" t="inlineStr">
        <is>
          <t>Shows how your total wedding budget is distributed across all spending categories</t>
        </is>
      </c>
      <c r="K9" s="2" t="n"/>
      <c r="L9" s="27" t="inlineStr">
        <is>
          <t>Current response breakdown across all invited guests — updates as you log RSVPs</t>
        </is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6" t="inlineStr">
        <is>
          <t>CUMULATIVE SPENDING OVER TIME</t>
        </is>
      </c>
      <c r="K28" s="2" t="n"/>
      <c r="L28" s="26" t="inlineStr">
        <is>
          <t>PLANNING TASK PROGRESS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7" t="inlineStr">
        <is>
          <t>Tracks your total spending month by month so you can see if you are on pace with your budget</t>
        </is>
      </c>
      <c r="K29" s="2" t="n"/>
      <c r="L29" s="27" t="inlineStr">
        <is>
          <t>Shows how many of your wedding tasks are complete, in progress, or not yet started</t>
        </is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6" t="inlineStr">
        <is>
          <t>BUDGET VS ACTUAL SPENDING</t>
        </is>
      </c>
      <c r="K48" s="2" t="n"/>
      <c r="L48" s="26" t="inlineStr">
        <is>
          <t>GUEST MEAL PREFERENCES</t>
        </is>
      </c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7" t="inlineStr">
        <is>
          <t>Compare your planned budget against real spending for each category — spot overages instantly</t>
        </is>
      </c>
      <c r="K49" s="2" t="n"/>
      <c r="L49" s="27" t="inlineStr">
        <is>
          <t>Breakdown of meal selections across all attending guests — share with your caterer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17" t="inlineStr">
        <is>
          <t>Category</t>
        </is>
      </c>
      <c r="E69" s="17" t="inlineStr">
        <is>
          <t>Spent</t>
        </is>
      </c>
      <c r="F69" s="2" t="n"/>
      <c r="G69" s="17" t="inlineStr">
        <is>
          <t>RSVP Status</t>
        </is>
      </c>
      <c r="H69" s="17" t="inlineStr">
        <is>
          <t>Count</t>
        </is>
      </c>
      <c r="I69" s="2" t="n"/>
      <c r="J69" s="17" t="inlineStr">
        <is>
          <t>Month</t>
        </is>
      </c>
      <c r="K69" s="17" t="inlineStr">
        <is>
          <t>Cumulative Spent</t>
        </is>
      </c>
      <c r="L69" s="2" t="n"/>
      <c r="M69" s="17" t="inlineStr">
        <is>
          <t>Status</t>
        </is>
      </c>
      <c r="N69" s="17" t="inlineStr">
        <is>
          <t>Count</t>
        </is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inlineStr">
        <is>
          <t>Venue &amp; Rentals</t>
        </is>
      </c>
      <c r="E70" s="2">
        <f>SUMIF(BUDGET!D6:D30,D70,BUDGET!H6:H30)</f>
        <v/>
      </c>
      <c r="F70" s="2" t="n"/>
      <c r="G70" s="2" t="inlineStr">
        <is>
          <t>Attending</t>
        </is>
      </c>
      <c r="H70" s="2">
        <f>COUNTIF('Guest List'!H6:H200,"Attending")</f>
        <v/>
      </c>
      <c r="I70" s="2" t="n"/>
      <c r="J70" s="2" t="inlineStr">
        <is>
          <t>Jan</t>
        </is>
      </c>
      <c r="K70" s="28" t="n">
        <v>2000</v>
      </c>
      <c r="L70" s="2" t="n"/>
      <c r="M70" s="2" t="inlineStr">
        <is>
          <t>Complete</t>
        </is>
      </c>
      <c r="N70" s="2">
        <f>COUNTIF(Timeline!G6:G100,"Complete")</f>
        <v/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inlineStr">
        <is>
          <t>Catering</t>
        </is>
      </c>
      <c r="E71" s="2">
        <f>SUMIF(BUDGET!D6:D30,D71,BUDGET!H6:H30)</f>
        <v/>
      </c>
      <c r="F71" s="2" t="n"/>
      <c r="G71" s="2" t="inlineStr">
        <is>
          <t>Pending</t>
        </is>
      </c>
      <c r="H71" s="2">
        <f>COUNTIF('Guest List'!H6:H200,"Pending")</f>
        <v/>
      </c>
      <c r="I71" s="2" t="n"/>
      <c r="J71" s="2" t="inlineStr">
        <is>
          <t>Feb</t>
        </is>
      </c>
      <c r="K71" s="28" t="n">
        <v>5500</v>
      </c>
      <c r="L71" s="2" t="n"/>
      <c r="M71" s="2" t="inlineStr">
        <is>
          <t>In Progress</t>
        </is>
      </c>
      <c r="N71" s="2">
        <f>COUNTIF(Timeline!G6:G100,"In Progress")</f>
        <v/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inlineStr">
        <is>
          <t>Photography</t>
        </is>
      </c>
      <c r="E72" s="2">
        <f>SUMIF(BUDGET!D6:D30,D72,BUDGET!H6:H30)</f>
        <v/>
      </c>
      <c r="F72" s="2" t="n"/>
      <c r="G72" s="2" t="inlineStr">
        <is>
          <t>Declined</t>
        </is>
      </c>
      <c r="H72" s="2">
        <f>COUNTIF('Guest List'!H6:H200,"Declined")</f>
        <v/>
      </c>
      <c r="I72" s="2" t="n"/>
      <c r="J72" s="2" t="inlineStr">
        <is>
          <t>Mar</t>
        </is>
      </c>
      <c r="K72" s="28" t="n">
        <v>8000</v>
      </c>
      <c r="L72" s="2" t="n"/>
      <c r="M72" s="2" t="inlineStr">
        <is>
          <t>Not Started</t>
        </is>
      </c>
      <c r="N72" s="2">
        <f>COUNTIF(Timeline!G6:G100,"Not Started")</f>
        <v/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inlineStr">
        <is>
          <t>Florals &amp; Decor</t>
        </is>
      </c>
      <c r="E73" s="2">
        <f>SUMIF(BUDGET!D6:D30,D73,BUDGET!H6:H30)</f>
        <v/>
      </c>
      <c r="F73" s="2" t="n"/>
      <c r="G73" s="2" t="inlineStr">
        <is>
          <t>No Response</t>
        </is>
      </c>
      <c r="H73" s="2">
        <f>COUNTIF('Guest List'!H6:H200,"No Response")</f>
        <v/>
      </c>
      <c r="I73" s="2" t="n"/>
      <c r="J73" s="2" t="inlineStr">
        <is>
          <t>Apr</t>
        </is>
      </c>
      <c r="K73" s="28" t="n">
        <v>12000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inlineStr">
        <is>
          <t>Music &amp; Entertainment</t>
        </is>
      </c>
      <c r="E74" s="2">
        <f>SUMIF(BUDGET!D6:D30,D74,BUDGET!H6:H30)</f>
        <v/>
      </c>
      <c r="F74" s="2" t="n"/>
      <c r="G74" s="2" t="n"/>
      <c r="H74" s="2" t="n"/>
      <c r="I74" s="2" t="n"/>
      <c r="J74" s="2" t="inlineStr">
        <is>
          <t>May</t>
        </is>
      </c>
      <c r="K74" s="28" t="n">
        <v>16000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inlineStr">
        <is>
          <t>Wedding Attire</t>
        </is>
      </c>
      <c r="E75" s="2">
        <f>SUMIF(BUDGET!D6:D30,D75,BUDGET!H6:H30)</f>
        <v/>
      </c>
      <c r="F75" s="2" t="n"/>
      <c r="G75" s="2" t="n"/>
      <c r="H75" s="2" t="n"/>
      <c r="I75" s="2" t="n"/>
      <c r="J75" s="2" t="inlineStr">
        <is>
          <t>Jun</t>
        </is>
      </c>
      <c r="K75" s="28" t="n">
        <v>22000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inlineStr">
        <is>
          <t>Stationery</t>
        </is>
      </c>
      <c r="E76" s="2">
        <f>SUMIF(BUDGET!D6:D30,D76,BUDGET!H6:H30)</f>
        <v/>
      </c>
      <c r="F76" s="2" t="n"/>
      <c r="G76" s="2" t="n"/>
      <c r="H76" s="2" t="n"/>
      <c r="I76" s="2" t="n"/>
      <c r="J76" s="2" t="inlineStr">
        <is>
          <t>Jul</t>
        </is>
      </c>
      <c r="K76" s="28" t="n">
        <v>28000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inlineStr">
        <is>
          <t>Transportation</t>
        </is>
      </c>
      <c r="E77" s="2">
        <f>SUMIF(BUDGET!D6:D30,D77,BUDGET!H6:H30)</f>
        <v/>
      </c>
      <c r="F77" s="2" t="n"/>
      <c r="G77" s="2" t="n"/>
      <c r="H77" s="2" t="n"/>
      <c r="I77" s="2" t="n"/>
      <c r="J77" s="2" t="inlineStr">
        <is>
          <t>Aug</t>
        </is>
      </c>
      <c r="K77" s="28" t="n">
        <v>33000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inlineStr">
        <is>
          <t>Cake &amp; Desserts</t>
        </is>
      </c>
      <c r="E78" s="2">
        <f>SUMIF(BUDGET!D6:D30,D78,BUDGET!H6:H30)</f>
        <v/>
      </c>
      <c r="F78" s="2" t="n"/>
      <c r="G78" s="2" t="n"/>
      <c r="H78" s="2" t="n"/>
      <c r="I78" s="2" t="n"/>
      <c r="J78" s="2" t="inlineStr">
        <is>
          <t>Sep</t>
        </is>
      </c>
      <c r="K78" s="28" t="n">
        <v>38000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inlineStr">
        <is>
          <t>Favors &amp; Gifts</t>
        </is>
      </c>
      <c r="E79" s="2">
        <f>SUMIF(BUDGET!D6:D30,D79,BUDGET!H6:H30)</f>
        <v/>
      </c>
      <c r="F79" s="2" t="n"/>
      <c r="G79" s="2" t="n"/>
      <c r="H79" s="2" t="n"/>
      <c r="I79" s="2" t="n"/>
      <c r="J79" s="2" t="inlineStr">
        <is>
          <t>Oct</t>
        </is>
      </c>
      <c r="K79" s="28" t="n">
        <v>41000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inlineStr">
        <is>
          <t>Nov</t>
        </is>
      </c>
      <c r="K80" s="28" t="n">
        <v>43000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inlineStr">
        <is>
          <t>Dec</t>
        </is>
      </c>
      <c r="K81" s="28" t="n">
        <v>45000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17" t="inlineStr">
        <is>
          <t>Category</t>
        </is>
      </c>
      <c r="E83" s="17" t="inlineStr">
        <is>
          <t>Budgeted</t>
        </is>
      </c>
      <c r="F83" s="17" t="inlineStr">
        <is>
          <t>Actual</t>
        </is>
      </c>
      <c r="G83" s="17" t="inlineStr">
        <is>
          <t>Meal Choice</t>
        </is>
      </c>
      <c r="H83" s="17" t="inlineStr">
        <is>
          <t>Count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inlineStr">
        <is>
          <t>Venue &amp; Rentals</t>
        </is>
      </c>
      <c r="E84" s="2">
        <f>SUMIF(BUDGET!D6:D30,D84,BUDGET!G6:G30)</f>
        <v/>
      </c>
      <c r="F84" s="2">
        <f>SUMIF(BUDGET!D6:D30,D84,BUDGET!H6:H30)</f>
        <v/>
      </c>
      <c r="G84" s="2" t="inlineStr">
        <is>
          <t>Chicken</t>
        </is>
      </c>
      <c r="H84" s="2">
        <f>COUNTIF('Guest List'!I6:I200,"Chicken")</f>
        <v/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inlineStr">
        <is>
          <t>Catering</t>
        </is>
      </c>
      <c r="E85" s="2">
        <f>SUMIF(BUDGET!D6:D30,D85,BUDGET!G6:G30)</f>
        <v/>
      </c>
      <c r="F85" s="2">
        <f>SUMIF(BUDGET!D6:D30,D85,BUDGET!H6:H30)</f>
        <v/>
      </c>
      <c r="G85" s="2" t="inlineStr">
        <is>
          <t>Beef</t>
        </is>
      </c>
      <c r="H85" s="2">
        <f>COUNTIF('Guest List'!I6:I200,"Beef")</f>
        <v/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inlineStr">
        <is>
          <t>Photography</t>
        </is>
      </c>
      <c r="E86" s="2">
        <f>SUMIF(BUDGET!D6:D30,D86,BUDGET!G6:G30)</f>
        <v/>
      </c>
      <c r="F86" s="2">
        <f>SUMIF(BUDGET!D6:D30,D86,BUDGET!H6:H30)</f>
        <v/>
      </c>
      <c r="G86" s="2" t="inlineStr">
        <is>
          <t>Fish</t>
        </is>
      </c>
      <c r="H86" s="2">
        <f>COUNTIF('Guest List'!I6:I200,"Fish")</f>
        <v/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inlineStr">
        <is>
          <t>Florals &amp; Decor</t>
        </is>
      </c>
      <c r="E87" s="2">
        <f>SUMIF(BUDGET!D6:D30,D87,BUDGET!G6:G30)</f>
        <v/>
      </c>
      <c r="F87" s="2">
        <f>SUMIF(BUDGET!D6:D30,D87,BUDGET!H6:H30)</f>
        <v/>
      </c>
      <c r="G87" s="2" t="inlineStr">
        <is>
          <t>Vegetarian</t>
        </is>
      </c>
      <c r="H87" s="2">
        <f>COUNTIF('Guest List'!I6:I200,"Vegetarian")</f>
        <v/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inlineStr">
        <is>
          <t>Music &amp; Entertainment</t>
        </is>
      </c>
      <c r="E88" s="2">
        <f>SUMIF(BUDGET!D6:D30,D88,BUDGET!G6:G30)</f>
        <v/>
      </c>
      <c r="F88" s="2">
        <f>SUMIF(BUDGET!D6:D30,D88,BUDGET!H6:H30)</f>
        <v/>
      </c>
      <c r="G88" s="2" t="inlineStr">
        <is>
          <t>Vegan</t>
        </is>
      </c>
      <c r="H88" s="2">
        <f>COUNTIF('Guest List'!I6:I200,"Vegan")</f>
        <v/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inlineStr">
        <is>
          <t>Wedding Attire</t>
        </is>
      </c>
      <c r="E89" s="2">
        <f>SUMIF(BUDGET!D6:D30,D89,BUDGET!G6:G30)</f>
        <v/>
      </c>
      <c r="F89" s="2">
        <f>SUMIF(BUDGET!D6:D30,D89,BUDGET!H6:H30)</f>
        <v/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inlineStr">
        <is>
          <t>Stationery</t>
        </is>
      </c>
      <c r="E90" s="2">
        <f>SUMIF(BUDGET!D6:D30,D90,BUDGET!G6:G30)</f>
        <v/>
      </c>
      <c r="F90" s="2">
        <f>SUMIF(BUDGET!D6:D30,D90,BUDGET!H6:H30)</f>
        <v/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inlineStr">
        <is>
          <t>Transportation</t>
        </is>
      </c>
      <c r="E91" s="2">
        <f>SUMIF(BUDGET!D6:D30,D91,BUDGET!G6:G30)</f>
        <v/>
      </c>
      <c r="F91" s="2">
        <f>SUMIF(BUDGET!D6:D30,D91,BUDGET!H6:H30)</f>
        <v/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inlineStr">
        <is>
          <t>Cake &amp; Desserts</t>
        </is>
      </c>
      <c r="E92" s="2">
        <f>SUMIF(BUDGET!D6:D30,D92,BUDGET!G6:G30)</f>
        <v/>
      </c>
      <c r="F92" s="2">
        <f>SUMIF(BUDGET!D6:D30,D92,BUDGET!H6:H30)</f>
        <v/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inlineStr">
        <is>
          <t>Favors &amp; Gifts</t>
        </is>
      </c>
      <c r="E93" s="2">
        <f>SUMIF(BUDGET!D6:D30,D93,BUDGET!G6:G30)</f>
        <v/>
      </c>
      <c r="F93" s="2">
        <f>SUMIF(BUDGET!D6:D30,D93,BUDGET!H6:H30)</f>
        <v/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1">
    <mergeCell ref="D2:L2"/>
    <mergeCell ref="D28:J28"/>
    <mergeCell ref="D9:J9"/>
    <mergeCell ref="L9:R9"/>
    <mergeCell ref="L5:N5"/>
    <mergeCell ref="D8:J8"/>
    <mergeCell ref="D29:J29"/>
    <mergeCell ref="L49:R49"/>
    <mergeCell ref="L48:R48"/>
    <mergeCell ref="L6:N6"/>
    <mergeCell ref="L28:R28"/>
    <mergeCell ref="D5:F5"/>
    <mergeCell ref="P5:R5"/>
    <mergeCell ref="H5:J5"/>
    <mergeCell ref="D49:J49"/>
    <mergeCell ref="L8:R8"/>
    <mergeCell ref="D48:J48"/>
    <mergeCell ref="L29:R29"/>
    <mergeCell ref="D6:F6"/>
    <mergeCell ref="P6:R6"/>
    <mergeCell ref="H6:J6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6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CALENDAR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KEY DATES OVERVIEW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Date</t>
        </is>
      </c>
      <c r="E5" s="17" t="inlineStr">
        <is>
          <t>Event / Deadline</t>
        </is>
      </c>
      <c r="F5" s="17" t="inlineStr">
        <is>
          <t>Category</t>
        </is>
      </c>
      <c r="G5" s="17" t="inlineStr">
        <is>
          <t>Priority</t>
        </is>
      </c>
      <c r="H5" s="17" t="inlineStr">
        <is>
          <t>Notes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2025-01-15</t>
        </is>
      </c>
      <c r="E6" s="18" t="inlineStr">
        <is>
          <t>Book venue</t>
        </is>
      </c>
      <c r="F6" s="18" t="inlineStr">
        <is>
          <t>Venue</t>
        </is>
      </c>
      <c r="G6" s="18" t="inlineStr">
        <is>
          <t>High</t>
        </is>
      </c>
      <c r="H6" s="18" t="inlineStr">
        <is>
          <t>Confirmed Rosewood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2025-03-01</t>
        </is>
      </c>
      <c r="E7" s="19" t="inlineStr">
        <is>
          <t>Send save the dates</t>
        </is>
      </c>
      <c r="F7" s="19" t="inlineStr">
        <is>
          <t>Stationery</t>
        </is>
      </c>
      <c r="G7" s="19" t="inlineStr">
        <is>
          <t>High</t>
        </is>
      </c>
      <c r="H7" s="19" t="inlineStr">
        <is>
          <t>Mailed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2025-04-01</t>
        </is>
      </c>
      <c r="E8" s="18" t="inlineStr">
        <is>
          <t>Book photographer</t>
        </is>
      </c>
      <c r="F8" s="18" t="inlineStr">
        <is>
          <t>Photography</t>
        </is>
      </c>
      <c r="G8" s="18" t="inlineStr">
        <is>
          <t>High</t>
        </is>
      </c>
      <c r="H8" s="18" t="inlineStr">
        <is>
          <t>Shortlisted 3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2025-05-15</t>
        </is>
      </c>
      <c r="E9" s="19" t="inlineStr">
        <is>
          <t>Order invitations</t>
        </is>
      </c>
      <c r="F9" s="19" t="inlineStr">
        <is>
          <t>Stationery</t>
        </is>
      </c>
      <c r="G9" s="19" t="inlineStr">
        <is>
          <t>Medium</t>
        </is>
      </c>
      <c r="H9" s="19" t="inlineStr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2025-06-01</t>
        </is>
      </c>
      <c r="E10" s="18" t="inlineStr">
        <is>
          <t>Cake tasting</t>
        </is>
      </c>
      <c r="F10" s="18" t="inlineStr">
        <is>
          <t>Catering</t>
        </is>
      </c>
      <c r="G10" s="18" t="inlineStr">
        <is>
          <t>Medium</t>
        </is>
      </c>
      <c r="H10" s="18" t="inlineStr">
        <is>
          <t>3 bakeries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2025-06-15</t>
        </is>
      </c>
      <c r="E11" s="19" t="inlineStr">
        <is>
          <t>Book florist</t>
        </is>
      </c>
      <c r="F11" s="19" t="inlineStr">
        <is>
          <t>Florals</t>
        </is>
      </c>
      <c r="G11" s="19" t="inlineStr">
        <is>
          <t>Medium</t>
        </is>
      </c>
      <c r="H11" s="19" t="inlineStr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7" t="inlineStr">
        <is>
          <t>Calendar</t>
        </is>
      </c>
      <c r="C12" s="2" t="n"/>
      <c r="D12" s="18" t="inlineStr">
        <is>
          <t>2025-07-01</t>
        </is>
      </c>
      <c r="E12" s="18" t="inlineStr">
        <is>
          <t>Final menu selection</t>
        </is>
      </c>
      <c r="F12" s="18" t="inlineStr">
        <is>
          <t>Catering</t>
        </is>
      </c>
      <c r="G12" s="18" t="inlineStr">
        <is>
          <t>High</t>
        </is>
      </c>
      <c r="H12" s="18" t="inlineStr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2025-08-01</t>
        </is>
      </c>
      <c r="E13" s="19" t="inlineStr">
        <is>
          <t>RSVP deadline</t>
        </is>
      </c>
      <c r="F13" s="19" t="inlineStr">
        <is>
          <t>Guests</t>
        </is>
      </c>
      <c r="G13" s="19" t="inlineStr">
        <is>
          <t>High</t>
        </is>
      </c>
      <c r="H13" s="19" t="inlineStr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2025-08-15</t>
        </is>
      </c>
      <c r="E14" s="18" t="inlineStr">
        <is>
          <t>Final guest count</t>
        </is>
      </c>
      <c r="F14" s="18" t="inlineStr">
        <is>
          <t>Guests</t>
        </is>
      </c>
      <c r="G14" s="18" t="inlineStr">
        <is>
          <t>High</t>
        </is>
      </c>
      <c r="H14" s="18" t="inlineStr">
        <is>
          <t>Notify caterer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2025-09-01</t>
        </is>
      </c>
      <c r="E15" s="19" t="inlineStr">
        <is>
          <t>Final fittings</t>
        </is>
      </c>
      <c r="F15" s="19" t="inlineStr">
        <is>
          <t>Attire</t>
        </is>
      </c>
      <c r="G15" s="19" t="inlineStr">
        <is>
          <t>High</t>
        </is>
      </c>
      <c r="H15" s="19" t="inlineStr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dataValidations count="1">
    <dataValidation sqref="G6:G50" showDropDown="0" showInputMessage="0" showErrorMessage="0" allowBlank="1" errorTitle="Invalid Entry" error="Please select from the dropdown list." type="list">
      <formula1>"High,Medium,Low"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PLANNING TIMELINE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TASK TRACKER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Task</t>
        </is>
      </c>
      <c r="E5" s="17" t="inlineStr">
        <is>
          <t>Category</t>
        </is>
      </c>
      <c r="F5" s="17" t="inlineStr">
        <is>
          <t>Due Date</t>
        </is>
      </c>
      <c r="G5" s="17" t="inlineStr">
        <is>
          <t>Status</t>
        </is>
      </c>
      <c r="H5" s="17" t="inlineStr">
        <is>
          <t>Priority</t>
        </is>
      </c>
      <c r="I5" s="17" t="inlineStr">
        <is>
          <t>Assigned To</t>
        </is>
      </c>
      <c r="J5" s="17" t="inlineStr">
        <is>
          <t>Notes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Book venue</t>
        </is>
      </c>
      <c r="E6" s="18" t="inlineStr">
        <is>
          <t>Venue</t>
        </is>
      </c>
      <c r="F6" s="18" t="inlineStr">
        <is>
          <t>2025-01-15</t>
        </is>
      </c>
      <c r="G6" s="18" t="inlineStr">
        <is>
          <t>Complete</t>
        </is>
      </c>
      <c r="H6" s="18" t="inlineStr">
        <is>
          <t>High</t>
        </is>
      </c>
      <c r="I6" s="18" t="inlineStr">
        <is>
          <t>Both</t>
        </is>
      </c>
      <c r="J6" s="18" t="inlineStr">
        <is>
          <t>Rosewood confirmed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Send save the dates</t>
        </is>
      </c>
      <c r="E7" s="19" t="inlineStr">
        <is>
          <t>Stationery</t>
        </is>
      </c>
      <c r="F7" s="19" t="inlineStr">
        <is>
          <t>2025-03-01</t>
        </is>
      </c>
      <c r="G7" s="19" t="inlineStr">
        <is>
          <t>Complete</t>
        </is>
      </c>
      <c r="H7" s="19" t="inlineStr">
        <is>
          <t>High</t>
        </is>
      </c>
      <c r="I7" s="19" t="inlineStr">
        <is>
          <t>Sarah</t>
        </is>
      </c>
      <c r="J7" s="19" t="inlineStr">
        <is>
          <t>Mailed 150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Book photographer</t>
        </is>
      </c>
      <c r="E8" s="18" t="inlineStr">
        <is>
          <t>Photography</t>
        </is>
      </c>
      <c r="F8" s="18" t="inlineStr">
        <is>
          <t>2025-04-01</t>
        </is>
      </c>
      <c r="G8" s="18" t="inlineStr">
        <is>
          <t>In Progress</t>
        </is>
      </c>
      <c r="H8" s="18" t="inlineStr">
        <is>
          <t>High</t>
        </is>
      </c>
      <c r="I8" s="18" t="inlineStr">
        <is>
          <t>Michael</t>
        </is>
      </c>
      <c r="J8" s="18" t="inlineStr">
        <is>
          <t>Shortlisted 3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Order invitations</t>
        </is>
      </c>
      <c r="E9" s="19" t="inlineStr">
        <is>
          <t>Stationery</t>
        </is>
      </c>
      <c r="F9" s="19" t="inlineStr">
        <is>
          <t>2025-05-15</t>
        </is>
      </c>
      <c r="G9" s="19" t="inlineStr">
        <is>
          <t>Not Started</t>
        </is>
      </c>
      <c r="H9" s="19" t="inlineStr">
        <is>
          <t>Medium</t>
        </is>
      </c>
      <c r="I9" s="19" t="inlineStr">
        <is>
          <t>Sarah</t>
        </is>
      </c>
      <c r="J9" s="19" t="inlineStr">
        <is>
          <t>Design approved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Cake tasting</t>
        </is>
      </c>
      <c r="E10" s="18" t="inlineStr">
        <is>
          <t>Catering</t>
        </is>
      </c>
      <c r="F10" s="18" t="inlineStr">
        <is>
          <t>2025-06-01</t>
        </is>
      </c>
      <c r="G10" s="18" t="inlineStr">
        <is>
          <t>Not Started</t>
        </is>
      </c>
      <c r="H10" s="18" t="inlineStr">
        <is>
          <t>Medium</t>
        </is>
      </c>
      <c r="I10" s="18" t="inlineStr">
        <is>
          <t>Both</t>
        </is>
      </c>
      <c r="J10" s="18" t="inlineStr">
        <is>
          <t>3 bakeries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Book DJ / Band</t>
        </is>
      </c>
      <c r="E11" s="19" t="inlineStr">
        <is>
          <t>Entertainment</t>
        </is>
      </c>
      <c r="F11" s="19" t="inlineStr">
        <is>
          <t>2025-04-15</t>
        </is>
      </c>
      <c r="G11" s="19" t="inlineStr">
        <is>
          <t>Complete</t>
        </is>
      </c>
      <c r="H11" s="19" t="inlineStr">
        <is>
          <t>High</t>
        </is>
      </c>
      <c r="I11" s="19" t="inlineStr">
        <is>
          <t>Michael</t>
        </is>
      </c>
      <c r="J11" s="19" t="inlineStr">
        <is>
          <t>DJ Smooth booked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Choose bridesmaid dresses</t>
        </is>
      </c>
      <c r="E12" s="18" t="inlineStr">
        <is>
          <t>Attire</t>
        </is>
      </c>
      <c r="F12" s="18" t="inlineStr">
        <is>
          <t>2025-05-01</t>
        </is>
      </c>
      <c r="G12" s="18" t="inlineStr">
        <is>
          <t>In Progress</t>
        </is>
      </c>
      <c r="H12" s="18" t="inlineStr">
        <is>
          <t>Medium</t>
        </is>
      </c>
      <c r="I12" s="18" t="inlineStr">
        <is>
          <t>Sarah</t>
        </is>
      </c>
      <c r="J12" s="18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7" t="inlineStr">
        <is>
          <t>Timeline</t>
        </is>
      </c>
      <c r="C13" s="2" t="n"/>
      <c r="D13" s="19" t="inlineStr">
        <is>
          <t>Book transportation</t>
        </is>
      </c>
      <c r="E13" s="19" t="inlineStr">
        <is>
          <t>Transport</t>
        </is>
      </c>
      <c r="F13" s="19" t="inlineStr">
        <is>
          <t>2025-07-01</t>
        </is>
      </c>
      <c r="G13" s="19" t="inlineStr">
        <is>
          <t>Not Started</t>
        </is>
      </c>
      <c r="H13" s="19" t="inlineStr">
        <is>
          <t>Low</t>
        </is>
      </c>
      <c r="I13" s="19" t="inlineStr">
        <is>
          <t>Michael</t>
        </is>
      </c>
      <c r="J13" s="19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Plan rehearsal dinner</t>
        </is>
      </c>
      <c r="E14" s="18" t="inlineStr">
        <is>
          <t>Events</t>
        </is>
      </c>
      <c r="F14" s="18" t="inlineStr">
        <is>
          <t>2025-08-01</t>
        </is>
      </c>
      <c r="G14" s="18" t="inlineStr">
        <is>
          <t>Not Started</t>
        </is>
      </c>
      <c r="H14" s="18" t="inlineStr">
        <is>
          <t>Medium</t>
        </is>
      </c>
      <c r="I14" s="18" t="inlineStr">
        <is>
          <t>Both</t>
        </is>
      </c>
      <c r="J14" s="18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Write vows</t>
        </is>
      </c>
      <c r="E15" s="19" t="inlineStr">
        <is>
          <t>Ceremony</t>
        </is>
      </c>
      <c r="F15" s="19" t="inlineStr">
        <is>
          <t>2025-08-15</t>
        </is>
      </c>
      <c r="G15" s="19" t="inlineStr">
        <is>
          <t>Not Started</t>
        </is>
      </c>
      <c r="H15" s="19" t="inlineStr">
        <is>
          <t>High</t>
        </is>
      </c>
      <c r="I15" s="19" t="inlineStr">
        <is>
          <t>Both</t>
        </is>
      </c>
      <c r="J15" s="19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inlineStr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24" customHeight="1">
      <c r="A18" s="1" t="n"/>
      <c r="B18" s="1" t="n"/>
      <c r="C18" s="2" t="n"/>
      <c r="D18" s="6" t="inlineStr">
        <is>
          <t>TASK ANALYTICS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17" t="inlineStr">
        <is>
          <t>Status</t>
        </is>
      </c>
      <c r="E19" s="17" t="inlineStr">
        <is>
          <t>Count</t>
        </is>
      </c>
      <c r="F19" s="2" t="n"/>
      <c r="G19" s="17" t="inlineStr">
        <is>
          <t>Priority</t>
        </is>
      </c>
      <c r="H19" s="17" t="inlineStr">
        <is>
          <t>Count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inlineStr">
        <is>
          <t>Complete</t>
        </is>
      </c>
      <c r="E20" s="2">
        <f>COUNTIF(G6:G16,"Complete")</f>
        <v/>
      </c>
      <c r="F20" s="2" t="n"/>
      <c r="G20" s="2" t="inlineStr">
        <is>
          <t>High</t>
        </is>
      </c>
      <c r="H20" s="2">
        <f>COUNTIF(H6:H16,"High")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inlineStr">
        <is>
          <t>In Progress</t>
        </is>
      </c>
      <c r="E21" s="2">
        <f>COUNTIF(G6:G16,"In Progress")</f>
        <v/>
      </c>
      <c r="F21" s="2" t="n"/>
      <c r="G21" s="2" t="inlineStr">
        <is>
          <t>Medium</t>
        </is>
      </c>
      <c r="H21" s="2">
        <f>COUNTIF(H6:H16,"Medium")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inlineStr">
        <is>
          <t>Not Started</t>
        </is>
      </c>
      <c r="E22" s="2">
        <f>COUNTIF(G6:G16,"Not Started")</f>
        <v/>
      </c>
      <c r="F22" s="2" t="n"/>
      <c r="G22" s="2" t="inlineStr">
        <is>
          <t>Low</t>
        </is>
      </c>
      <c r="H22" s="2">
        <f>COUNTIF(H6:H16,"Low")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6" t="inlineStr">
        <is>
          <t>TASK COMPLETION STATUS</t>
        </is>
      </c>
      <c r="K24" s="2" t="n"/>
      <c r="L24" s="26" t="inlineStr">
        <is>
          <t>TASK PRIORITY DISTRIBUTION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7" t="inlineStr">
        <is>
          <t>Visual breakdown of how many planning tasks are done, underway, or waiting to start</t>
        </is>
      </c>
      <c r="K25" s="2" t="n"/>
      <c r="L25" s="27" t="inlineStr">
        <is>
          <t>Balance of high, medium, and low priority tasks — ensure critical items get attention first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7">
    <mergeCell ref="D18:Q18"/>
    <mergeCell ref="D2:L2"/>
    <mergeCell ref="L25:R25"/>
    <mergeCell ref="D25:J25"/>
    <mergeCell ref="D24:J24"/>
    <mergeCell ref="L24:R24"/>
    <mergeCell ref="D4:Q4"/>
  </mergeCells>
  <conditionalFormatting sqref="G6:G100">
    <cfRule type="containsText" priority="1" operator="containsText" dxfId="0" text="Complete">
      <formula>NOT(ISERROR(SEARCH("Complete",G6)))</formula>
    </cfRule>
    <cfRule type="containsText" priority="2" operator="containsText" dxfId="1" text="In Progress">
      <formula>NOT(ISERROR(SEARCH("In Progress",G6)))</formula>
    </cfRule>
    <cfRule type="containsText" priority="3" operator="containsText" dxfId="2" text="Not Started">
      <formula>NOT(ISERROR(SEARCH("Not Started",G6)))</formula>
    </cfRule>
  </conditionalFormatting>
  <dataValidations count="2">
    <dataValidation sqref="G6:G100" showDropDown="0" showInputMessage="0" showErrorMessage="0" allowBlank="1" errorTitle="Invalid Entry" error="Please select from the dropdown list." type="list">
      <formula1>"Complete,In Progress,Not Started"</formula1>
    </dataValidation>
    <dataValidation sqref="H6:H100" showDropDown="0" showInputMessage="0" showErrorMessage="0" allowBlank="1" errorTitle="Invalid Entry" error="Please select from the dropdown list." type="list">
      <formula1>"High,Medium,Low"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8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DAY ITINERARY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DAY-OF SCHEDULE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Time</t>
        </is>
      </c>
      <c r="E5" s="17" t="inlineStr">
        <is>
          <t>Event</t>
        </is>
      </c>
      <c r="F5" s="17" t="inlineStr">
        <is>
          <t>Location</t>
        </is>
      </c>
      <c r="G5" s="17" t="inlineStr">
        <is>
          <t>Who</t>
        </is>
      </c>
      <c r="H5" s="17" t="inlineStr">
        <is>
          <t>Duration</t>
        </is>
      </c>
      <c r="I5" s="17" t="inlineStr">
        <is>
          <t>Notes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7:00 AM</t>
        </is>
      </c>
      <c r="E6" s="18" t="inlineStr">
        <is>
          <t>Hair &amp; Makeup begins</t>
        </is>
      </c>
      <c r="F6" s="18" t="inlineStr">
        <is>
          <t>Bridal Suite</t>
        </is>
      </c>
      <c r="G6" s="18" t="inlineStr">
        <is>
          <t>Bride + Bridesmaids</t>
        </is>
      </c>
      <c r="H6" s="18" t="inlineStr">
        <is>
          <t>3 hrs</t>
        </is>
      </c>
      <c r="I6" s="18" t="inlineStr">
        <is>
          <t>Coffee &amp; pastries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10:00 AM</t>
        </is>
      </c>
      <c r="E7" s="19" t="inlineStr">
        <is>
          <t>Groom prep</t>
        </is>
      </c>
      <c r="F7" s="19" t="inlineStr">
        <is>
          <t>Groom Suite</t>
        </is>
      </c>
      <c r="G7" s="19" t="inlineStr">
        <is>
          <t>Groom + Groomsmen</t>
        </is>
      </c>
      <c r="H7" s="19" t="inlineStr">
        <is>
          <t>1.5 hrs</t>
        </is>
      </c>
      <c r="I7" s="19" t="inlineStr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11:30 AM</t>
        </is>
      </c>
      <c r="E8" s="18" t="inlineStr">
        <is>
          <t>First look photos</t>
        </is>
      </c>
      <c r="F8" s="18" t="inlineStr">
        <is>
          <t>Garden</t>
        </is>
      </c>
      <c r="G8" s="18" t="inlineStr">
        <is>
          <t>Couple + Photographer</t>
        </is>
      </c>
      <c r="H8" s="18" t="inlineStr">
        <is>
          <t>45 min</t>
        </is>
      </c>
      <c r="I8" s="18" t="inlineStr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12:30 PM</t>
        </is>
      </c>
      <c r="E9" s="19" t="inlineStr">
        <is>
          <t>Wedding party photos</t>
        </is>
      </c>
      <c r="F9" s="19" t="inlineStr">
        <is>
          <t>Garden + Venue</t>
        </is>
      </c>
      <c r="G9" s="19" t="inlineStr">
        <is>
          <t>Full party</t>
        </is>
      </c>
      <c r="H9" s="19" t="inlineStr">
        <is>
          <t>1 hr</t>
        </is>
      </c>
      <c r="I9" s="19" t="inlineStr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2:00 PM</t>
        </is>
      </c>
      <c r="E10" s="18" t="inlineStr">
        <is>
          <t>Guests arrive</t>
        </is>
      </c>
      <c r="F10" s="18" t="inlineStr">
        <is>
          <t>Ceremony area</t>
        </is>
      </c>
      <c r="G10" s="18" t="inlineStr">
        <is>
          <t>All guests</t>
        </is>
      </c>
      <c r="H10" s="18" t="inlineStr">
        <is>
          <t>30 min</t>
        </is>
      </c>
      <c r="I10" s="18" t="inlineStr">
        <is>
          <t>Ushers seat guests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2:30 PM</t>
        </is>
      </c>
      <c r="E11" s="19" t="inlineStr">
        <is>
          <t>Ceremony begins</t>
        </is>
      </c>
      <c r="F11" s="19" t="inlineStr">
        <is>
          <t>Garden Pavilion</t>
        </is>
      </c>
      <c r="G11" s="19" t="inlineStr">
        <is>
          <t>Everyone</t>
        </is>
      </c>
      <c r="H11" s="19" t="inlineStr">
        <is>
          <t>30 min</t>
        </is>
      </c>
      <c r="I11" s="19" t="inlineStr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3:00 PM</t>
        </is>
      </c>
      <c r="E12" s="18" t="inlineStr">
        <is>
          <t>Cocktail hour</t>
        </is>
      </c>
      <c r="F12" s="18" t="inlineStr">
        <is>
          <t>Terrace</t>
        </is>
      </c>
      <c r="G12" s="18" t="inlineStr">
        <is>
          <t>Guests</t>
        </is>
      </c>
      <c r="H12" s="18" t="inlineStr">
        <is>
          <t>1 hr</t>
        </is>
      </c>
      <c r="I12" s="18" t="inlineStr">
        <is>
          <t>Passed apps + bar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4:00 PM</t>
        </is>
      </c>
      <c r="E13" s="19" t="inlineStr">
        <is>
          <t>Reception begins</t>
        </is>
      </c>
      <c r="F13" s="19" t="inlineStr">
        <is>
          <t>Ballroom</t>
        </is>
      </c>
      <c r="G13" s="19" t="inlineStr">
        <is>
          <t>Everyone</t>
        </is>
      </c>
      <c r="H13" s="19" t="inlineStr">
        <is>
          <t>5 hrs</t>
        </is>
      </c>
      <c r="I13" s="19" t="inlineStr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4:30 PM</t>
        </is>
      </c>
      <c r="E14" s="18" t="inlineStr">
        <is>
          <t>First dance</t>
        </is>
      </c>
      <c r="F14" s="18" t="inlineStr">
        <is>
          <t>Dance floor</t>
        </is>
      </c>
      <c r="G14" s="18" t="inlineStr">
        <is>
          <t>Couple</t>
        </is>
      </c>
      <c r="H14" s="18" t="inlineStr">
        <is>
          <t>5 min</t>
        </is>
      </c>
      <c r="I14" s="18" t="inlineStr">
        <is>
          <t>Song: TBD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9:00 PM</t>
        </is>
      </c>
      <c r="E15" s="19" t="inlineStr">
        <is>
          <t>Sparkler send-off</t>
        </is>
      </c>
      <c r="F15" s="19" t="inlineStr">
        <is>
          <t>Front entrance</t>
        </is>
      </c>
      <c r="G15" s="19" t="inlineStr">
        <is>
          <t>Everyone</t>
        </is>
      </c>
      <c r="H15" s="19" t="inlineStr">
        <is>
          <t>15 min</t>
        </is>
      </c>
      <c r="I15" s="19" t="inlineStr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7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DAY PACKING LIST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ITEMS TO BRING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Item</t>
        </is>
      </c>
      <c r="E5" s="17" t="inlineStr">
        <is>
          <t>Category</t>
        </is>
      </c>
      <c r="F5" s="17" t="inlineStr">
        <is>
          <t>Packed</t>
        </is>
      </c>
      <c r="G5" s="17" t="inlineStr">
        <is>
          <t>Quantity</t>
        </is>
      </c>
      <c r="H5" s="17" t="inlineStr">
        <is>
          <t>Notes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Wedding dress</t>
        </is>
      </c>
      <c r="E6" s="18" t="inlineStr">
        <is>
          <t>Attire</t>
        </is>
      </c>
      <c r="F6" s="18" t="inlineStr">
        <is>
          <t>Yes</t>
        </is>
      </c>
      <c r="G6" s="29" t="n">
        <v>1</v>
      </c>
      <c r="H6" s="18" t="inlineStr">
        <is>
          <t>Steamed night before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Veil / Headpiece</t>
        </is>
      </c>
      <c r="E7" s="19" t="inlineStr">
        <is>
          <t>Attire</t>
        </is>
      </c>
      <c r="F7" s="19" t="inlineStr">
        <is>
          <t>Yes</t>
        </is>
      </c>
      <c r="G7" s="30" t="n">
        <v>1</v>
      </c>
      <c r="H7" s="19" t="inlineStr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Wedding rings</t>
        </is>
      </c>
      <c r="E8" s="18" t="inlineStr">
        <is>
          <t>Ceremony</t>
        </is>
      </c>
      <c r="F8" s="18" t="inlineStr">
        <is>
          <t>No</t>
        </is>
      </c>
      <c r="G8" s="29" t="n">
        <v>2</v>
      </c>
      <c r="H8" s="18" t="inlineStr">
        <is>
          <t>Best man has them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Vows (printed)</t>
        </is>
      </c>
      <c r="E9" s="19" t="inlineStr">
        <is>
          <t>Ceremony</t>
        </is>
      </c>
      <c r="F9" s="19" t="inlineStr">
        <is>
          <t>No</t>
        </is>
      </c>
      <c r="G9" s="30" t="n">
        <v>2</v>
      </c>
      <c r="H9" s="19" t="inlineStr">
        <is>
          <t>Backup copies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Emergency kit</t>
        </is>
      </c>
      <c r="E10" s="18" t="inlineStr">
        <is>
          <t>Supplies</t>
        </is>
      </c>
      <c r="F10" s="18" t="inlineStr">
        <is>
          <t>Yes</t>
        </is>
      </c>
      <c r="G10" s="29" t="n">
        <v>1</v>
      </c>
      <c r="H10" s="18" t="inlineStr">
        <is>
          <t>Sewing kit, stain remover, pain reliever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Marriage license</t>
        </is>
      </c>
      <c r="E11" s="19" t="inlineStr">
        <is>
          <t>Legal</t>
        </is>
      </c>
      <c r="F11" s="19" t="inlineStr">
        <is>
          <t>No</t>
        </is>
      </c>
      <c r="G11" s="30" t="n">
        <v>1</v>
      </c>
      <c r="H11" s="19" t="inlineStr">
        <is>
          <t>CRITICAL — do not forget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Card box</t>
        </is>
      </c>
      <c r="E12" s="18" t="inlineStr">
        <is>
          <t>Reception</t>
        </is>
      </c>
      <c r="F12" s="18" t="inlineStr">
        <is>
          <t>No</t>
        </is>
      </c>
      <c r="G12" s="29" t="n">
        <v>1</v>
      </c>
      <c r="H12" s="18" t="inlineStr">
        <is>
          <t>For gift cards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Guest book + pen</t>
        </is>
      </c>
      <c r="E13" s="19" t="inlineStr">
        <is>
          <t>Reception</t>
        </is>
      </c>
      <c r="F13" s="19" t="inlineStr">
        <is>
          <t>No</t>
        </is>
      </c>
      <c r="G13" s="30" t="n">
        <v>1</v>
      </c>
      <c r="H13" s="19" t="inlineStr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Phone charger</t>
        </is>
      </c>
      <c r="E14" s="18" t="inlineStr">
        <is>
          <t>Personal</t>
        </is>
      </c>
      <c r="F14" s="18" t="inlineStr">
        <is>
          <t>No</t>
        </is>
      </c>
      <c r="G14" s="29" t="n">
        <v>2</v>
      </c>
      <c r="H14" s="18" t="inlineStr">
        <is>
          <t>One for each partner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Change of shoes</t>
        </is>
      </c>
      <c r="E15" s="19" t="inlineStr">
        <is>
          <t>Attire</t>
        </is>
      </c>
      <c r="F15" s="19" t="inlineStr">
        <is>
          <t>No</t>
        </is>
      </c>
      <c r="G15" s="30" t="n">
        <v>1</v>
      </c>
      <c r="H15" s="19" t="inlineStr">
        <is>
          <t>Comfy for dancing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7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M4"/>
  </mergeCells>
  <dataValidations count="1">
    <dataValidation sqref="F6:F50" showDropDown="0" showInputMessage="0" showErrorMessage="0" allowBlank="1" errorTitle="Invalid Entry" error="Please select from the dropdown list." type="list">
      <formula1>"Yes,No"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VENDOR TRACKER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BOOKED &amp; PROSPECTIVE VENDORS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Vendor Name</t>
        </is>
      </c>
      <c r="E5" s="17" t="inlineStr">
        <is>
          <t>Category</t>
        </is>
      </c>
      <c r="F5" s="17" t="inlineStr">
        <is>
          <t>Contact</t>
        </is>
      </c>
      <c r="G5" s="17" t="inlineStr">
        <is>
          <t>Phone</t>
        </is>
      </c>
      <c r="H5" s="17" t="inlineStr">
        <is>
          <t>Email</t>
        </is>
      </c>
      <c r="I5" s="17" t="inlineStr">
        <is>
          <t>Quote</t>
        </is>
      </c>
      <c r="J5" s="17" t="inlineStr">
        <is>
          <t>Status</t>
        </is>
      </c>
      <c r="K5" s="17" t="inlineStr">
        <is>
          <t>Rating</t>
        </is>
      </c>
      <c r="L5" s="17" t="inlineStr">
        <is>
          <t>Notes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Rosewood Gardens</t>
        </is>
      </c>
      <c r="E6" s="18" t="inlineStr">
        <is>
          <t>Venue</t>
        </is>
      </c>
      <c r="F6" s="18" t="inlineStr">
        <is>
          <t>Tom Hardy</t>
        </is>
      </c>
      <c r="G6" s="18" t="inlineStr">
        <is>
          <t>555-1001</t>
        </is>
      </c>
      <c r="H6" s="18" t="inlineStr">
        <is>
          <t>tom@rosewood.com</t>
        </is>
      </c>
      <c r="I6" s="20" t="n">
        <v>14500</v>
      </c>
      <c r="J6" s="18" t="inlineStr">
        <is>
          <t>Booked</t>
        </is>
      </c>
      <c r="K6" s="29" t="n">
        <v>5</v>
      </c>
      <c r="L6" s="18" t="inlineStr">
        <is>
          <t>Perfect garden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Bella Cucina</t>
        </is>
      </c>
      <c r="E7" s="19" t="inlineStr">
        <is>
          <t>Catering</t>
        </is>
      </c>
      <c r="F7" s="19" t="inlineStr">
        <is>
          <t>Chef Marco</t>
        </is>
      </c>
      <c r="G7" s="19" t="inlineStr">
        <is>
          <t>555-1002</t>
        </is>
      </c>
      <c r="H7" s="19" t="inlineStr">
        <is>
          <t>marco@bella.com</t>
        </is>
      </c>
      <c r="I7" s="21" t="n">
        <v>7200</v>
      </c>
      <c r="J7" s="19" t="inlineStr">
        <is>
          <t>Booked</t>
        </is>
      </c>
      <c r="K7" s="30" t="n">
        <v>4</v>
      </c>
      <c r="L7" s="19" t="inlineStr">
        <is>
          <t>Italian menu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Lens &amp; Light Studio</t>
        </is>
      </c>
      <c r="E8" s="18" t="inlineStr">
        <is>
          <t>Photography</t>
        </is>
      </c>
      <c r="F8" s="18" t="inlineStr">
        <is>
          <t>Amy Park</t>
        </is>
      </c>
      <c r="G8" s="18" t="inlineStr">
        <is>
          <t>555-1003</t>
        </is>
      </c>
      <c r="H8" s="18" t="inlineStr">
        <is>
          <t>amy@lens.com</t>
        </is>
      </c>
      <c r="I8" s="20" t="n">
        <v>3800</v>
      </c>
      <c r="J8" s="18" t="inlineStr">
        <is>
          <t>Pending</t>
        </is>
      </c>
      <c r="K8" s="29" t="n">
        <v>5</v>
      </c>
      <c r="L8" s="18" t="inlineStr">
        <is>
          <t>Portfolio loved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Bloom &amp; Wild</t>
        </is>
      </c>
      <c r="E9" s="19" t="inlineStr">
        <is>
          <t>Florals</t>
        </is>
      </c>
      <c r="F9" s="19" t="inlineStr">
        <is>
          <t>Nina Rose</t>
        </is>
      </c>
      <c r="G9" s="19" t="inlineStr">
        <is>
          <t>555-1004</t>
        </is>
      </c>
      <c r="H9" s="19" t="inlineStr">
        <is>
          <t>nina@bloom.com</t>
        </is>
      </c>
      <c r="I9" s="21" t="n">
        <v>2200</v>
      </c>
      <c r="J9" s="19" t="inlineStr">
        <is>
          <t>Booked</t>
        </is>
      </c>
      <c r="K9" s="30" t="n">
        <v>4</v>
      </c>
      <c r="L9" s="19" t="inlineStr">
        <is>
          <t>Rustic style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DJ Smooth</t>
        </is>
      </c>
      <c r="E10" s="18" t="inlineStr">
        <is>
          <t>Entertainment</t>
        </is>
      </c>
      <c r="F10" s="18" t="inlineStr">
        <is>
          <t>Dave King</t>
        </is>
      </c>
      <c r="G10" s="18" t="inlineStr">
        <is>
          <t>555-1005</t>
        </is>
      </c>
      <c r="H10" s="18" t="inlineStr">
        <is>
          <t>dave@dj.com</t>
        </is>
      </c>
      <c r="I10" s="20" t="n">
        <v>1500</v>
      </c>
      <c r="J10" s="18" t="inlineStr">
        <is>
          <t>Booked</t>
        </is>
      </c>
      <c r="K10" s="29" t="n">
        <v>4</v>
      </c>
      <c r="L10" s="18" t="inlineStr">
        <is>
          <t>Great reviews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24" customHeight="1">
      <c r="A13" s="1" t="n"/>
      <c r="B13" s="9" t="inlineStr">
        <is>
          <t>Timeline</t>
        </is>
      </c>
      <c r="C13" s="2" t="n"/>
      <c r="D13" s="6" t="inlineStr">
        <is>
          <t>VENDOR COST ANALYSIS</t>
        </is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6" t="inlineStr">
        <is>
          <t>VENDOR COST COMPARISON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7" t="inlineStr">
        <is>
          <t>Side-by-side comparison of quoted costs for each booked or prospective vendor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7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5">
    <mergeCell ref="D2:L2"/>
    <mergeCell ref="D14:J14"/>
    <mergeCell ref="D13:Q13"/>
    <mergeCell ref="D15:J15"/>
    <mergeCell ref="D4:Q4"/>
  </mergeCells>
  <dataValidations count="1">
    <dataValidation sqref="K6:K50" showDropDown="0" showInputMessage="0" showErrorMessage="0" allowBlank="1" errorTitle="Invalid Entry" error="Please select from the dropdown list." type="list">
      <formula1>"Booked,Pending,Contacted,Declined"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11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VENUE COMPARISON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VENUE OPTIONS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Venue Name</t>
        </is>
      </c>
      <c r="E5" s="17" t="inlineStr">
        <is>
          <t>Location</t>
        </is>
      </c>
      <c r="F5" s="17" t="inlineStr">
        <is>
          <t>Capacity</t>
        </is>
      </c>
      <c r="G5" s="17" t="inlineStr">
        <is>
          <t>Cost</t>
        </is>
      </c>
      <c r="H5" s="17" t="inlineStr">
        <is>
          <t>Availability</t>
        </is>
      </c>
      <c r="I5" s="17" t="inlineStr">
        <is>
          <t>Pros</t>
        </is>
      </c>
      <c r="J5" s="17" t="inlineStr">
        <is>
          <t>Cons</t>
        </is>
      </c>
      <c r="K5" s="17" t="inlineStr">
        <is>
          <t>Rating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Rosewood Gardens</t>
        </is>
      </c>
      <c r="E6" s="18" t="inlineStr">
        <is>
          <t>Hillside, CA</t>
        </is>
      </c>
      <c r="F6" s="20" t="n">
        <v>200</v>
      </c>
      <c r="G6" s="20" t="n">
        <v>14500</v>
      </c>
      <c r="H6" s="18" t="inlineStr">
        <is>
          <t>Sep 15 available</t>
        </is>
      </c>
      <c r="I6" s="18" t="inlineStr">
        <is>
          <t>Beautiful gardens</t>
        </is>
      </c>
      <c r="J6" s="18" t="inlineStr">
        <is>
          <t>Far from city</t>
        </is>
      </c>
      <c r="K6" s="29" t="n">
        <v>5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The Grand Hall</t>
        </is>
      </c>
      <c r="E7" s="19" t="inlineStr">
        <is>
          <t>Downtown, CA</t>
        </is>
      </c>
      <c r="F7" s="21" t="n">
        <v>300</v>
      </c>
      <c r="G7" s="21" t="n">
        <v>18000</v>
      </c>
      <c r="H7" s="19" t="inlineStr">
        <is>
          <t>Sep 15 available</t>
        </is>
      </c>
      <c r="I7" s="19" t="inlineStr">
        <is>
          <t>Elegant, central</t>
        </is>
      </c>
      <c r="J7" s="19" t="inlineStr">
        <is>
          <t>Expensive</t>
        </is>
      </c>
      <c r="K7" s="30" t="n">
        <v>4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Lakeside Lodge</t>
        </is>
      </c>
      <c r="E8" s="18" t="inlineStr">
        <is>
          <t>Lake View, CA</t>
        </is>
      </c>
      <c r="F8" s="20" t="n">
        <v>150</v>
      </c>
      <c r="G8" s="20" t="n">
        <v>11000</v>
      </c>
      <c r="H8" s="18" t="inlineStr">
        <is>
          <t>Sep booked</t>
        </is>
      </c>
      <c r="I8" s="18" t="inlineStr">
        <is>
          <t>Stunning views</t>
        </is>
      </c>
      <c r="J8" s="18" t="inlineStr">
        <is>
          <t>Weather risk</t>
        </is>
      </c>
      <c r="K8" s="29" t="n">
        <v>4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The Barn at Willow</t>
        </is>
      </c>
      <c r="E9" s="19" t="inlineStr">
        <is>
          <t>Rural, CA</t>
        </is>
      </c>
      <c r="F9" s="21" t="n">
        <v>120</v>
      </c>
      <c r="G9" s="21" t="n">
        <v>8500</v>
      </c>
      <c r="H9" s="19" t="inlineStr">
        <is>
          <t>Sep 15 available</t>
        </is>
      </c>
      <c r="I9" s="19" t="inlineStr">
        <is>
          <t>Rustic charm</t>
        </is>
      </c>
      <c r="J9" s="19" t="inlineStr">
        <is>
          <t>Limited parking</t>
        </is>
      </c>
      <c r="K9" s="30" t="n">
        <v>3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7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Q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BUDGET TRACKER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BUDGET BREAKDOWN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Category</t>
        </is>
      </c>
      <c r="E5" s="17" t="inlineStr">
        <is>
          <t>Item</t>
        </is>
      </c>
      <c r="F5" s="17" t="inlineStr">
        <is>
          <t>Vendor</t>
        </is>
      </c>
      <c r="G5" s="17" t="inlineStr">
        <is>
          <t>Estimated</t>
        </is>
      </c>
      <c r="H5" s="17" t="inlineStr">
        <is>
          <t>Actual</t>
        </is>
      </c>
      <c r="I5" s="17" t="inlineStr">
        <is>
          <t>Paid</t>
        </is>
      </c>
      <c r="J5" s="17" t="inlineStr">
        <is>
          <t>Remaining</t>
        </is>
      </c>
      <c r="K5" s="17" t="inlineStr">
        <is>
          <t>Status</t>
        </is>
      </c>
      <c r="L5" s="17" t="inlineStr">
        <is>
          <t>Notes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Venue &amp; Rentals</t>
        </is>
      </c>
      <c r="E6" s="18" t="inlineStr">
        <is>
          <t>Venue fee</t>
        </is>
      </c>
      <c r="F6" s="18" t="inlineStr">
        <is>
          <t>Rosewood Gardens</t>
        </is>
      </c>
      <c r="G6" s="20" t="n">
        <v>15000</v>
      </c>
      <c r="H6" s="20" t="n">
        <v>14500</v>
      </c>
      <c r="I6" s="20" t="n">
        <v>14500</v>
      </c>
      <c r="J6" s="31">
        <f>H6-I6</f>
        <v/>
      </c>
      <c r="K6" s="18" t="inlineStr">
        <is>
          <t>Paid</t>
        </is>
      </c>
      <c r="L6" s="18" t="inlineStr">
        <is>
          <t>Full payment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Catering</t>
        </is>
      </c>
      <c r="E7" s="19" t="inlineStr">
        <is>
          <t>Full service</t>
        </is>
      </c>
      <c r="F7" s="19" t="inlineStr">
        <is>
          <t>Bella Cucina</t>
        </is>
      </c>
      <c r="G7" s="21" t="n">
        <v>8000</v>
      </c>
      <c r="H7" s="21" t="n">
        <v>7200</v>
      </c>
      <c r="I7" s="21" t="n">
        <v>3600</v>
      </c>
      <c r="J7" s="32">
        <f>H7-I7</f>
        <v/>
      </c>
      <c r="K7" s="19" t="inlineStr">
        <is>
          <t>Deposit</t>
        </is>
      </c>
      <c r="L7" s="19" t="inlineStr">
        <is>
          <t>50% deposit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Photography</t>
        </is>
      </c>
      <c r="E8" s="18" t="inlineStr">
        <is>
          <t>Full day + album</t>
        </is>
      </c>
      <c r="F8" s="18" t="inlineStr">
        <is>
          <t>Lens &amp; Light</t>
        </is>
      </c>
      <c r="G8" s="20" t="n">
        <v>3500</v>
      </c>
      <c r="H8" s="20" t="n">
        <v>3800</v>
      </c>
      <c r="I8" s="20" t="n">
        <v>1900</v>
      </c>
      <c r="J8" s="31">
        <f>H8-I8</f>
        <v/>
      </c>
      <c r="K8" s="18" t="inlineStr">
        <is>
          <t>Deposit</t>
        </is>
      </c>
      <c r="L8" s="18" t="inlineStr">
        <is>
          <t>Over budget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Florals &amp; Decor</t>
        </is>
      </c>
      <c r="E9" s="19" t="inlineStr">
        <is>
          <t>Centerpieces + arch</t>
        </is>
      </c>
      <c r="F9" s="19" t="inlineStr">
        <is>
          <t>Bloom &amp; Wild</t>
        </is>
      </c>
      <c r="G9" s="21" t="n">
        <v>2500</v>
      </c>
      <c r="H9" s="21" t="n">
        <v>2200</v>
      </c>
      <c r="I9" s="21" t="n">
        <v>1100</v>
      </c>
      <c r="J9" s="32">
        <f>H9-I9</f>
        <v/>
      </c>
      <c r="K9" s="19" t="inlineStr">
        <is>
          <t>Deposit</t>
        </is>
      </c>
      <c r="L9" s="19" t="inlineStr">
        <is>
          <t>On track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Music &amp; Entertainment</t>
        </is>
      </c>
      <c r="E10" s="18" t="inlineStr">
        <is>
          <t>DJ full night</t>
        </is>
      </c>
      <c r="F10" s="18" t="inlineStr">
        <is>
          <t>DJ Smooth</t>
        </is>
      </c>
      <c r="G10" s="20" t="n">
        <v>1500</v>
      </c>
      <c r="H10" s="20" t="n">
        <v>1500</v>
      </c>
      <c r="I10" s="20" t="n">
        <v>750</v>
      </c>
      <c r="J10" s="31">
        <f>H10-I10</f>
        <v/>
      </c>
      <c r="K10" s="18" t="inlineStr">
        <is>
          <t>Deposit</t>
        </is>
      </c>
      <c r="L10" s="18" t="inlineStr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Wedding Attire</t>
        </is>
      </c>
      <c r="E11" s="19" t="inlineStr">
        <is>
          <t>Dress + suit + alterations</t>
        </is>
      </c>
      <c r="F11" s="19" t="inlineStr">
        <is>
          <t>Various</t>
        </is>
      </c>
      <c r="G11" s="21" t="n">
        <v>3000</v>
      </c>
      <c r="H11" s="21" t="n">
        <v>2700</v>
      </c>
      <c r="I11" s="21" t="n">
        <v>2700</v>
      </c>
      <c r="J11" s="32">
        <f>H11-I11</f>
        <v/>
      </c>
      <c r="K11" s="19" t="inlineStr">
        <is>
          <t>Paid</t>
        </is>
      </c>
      <c r="L11" s="19" t="inlineStr">
        <is>
          <t>Complete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Stationery</t>
        </is>
      </c>
      <c r="E12" s="18" t="inlineStr">
        <is>
          <t>Invites + STDs + programs</t>
        </is>
      </c>
      <c r="F12" s="18" t="inlineStr">
        <is>
          <t>Etsy + Minted</t>
        </is>
      </c>
      <c r="G12" s="20" t="n">
        <v>500</v>
      </c>
      <c r="H12" s="20" t="n">
        <v>450</v>
      </c>
      <c r="I12" s="20" t="n">
        <v>450</v>
      </c>
      <c r="J12" s="31">
        <f>H12-I12</f>
        <v/>
      </c>
      <c r="K12" s="18" t="inlineStr">
        <is>
          <t>Paid</t>
        </is>
      </c>
      <c r="L12" s="18" t="inlineStr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Transportation</t>
        </is>
      </c>
      <c r="E13" s="19" t="inlineStr">
        <is>
          <t>Limo + shuttle</t>
        </is>
      </c>
      <c r="F13" s="19" t="inlineStr">
        <is>
          <t>TBD</t>
        </is>
      </c>
      <c r="G13" s="21" t="n">
        <v>1000</v>
      </c>
      <c r="H13" s="21" t="n">
        <v>900</v>
      </c>
      <c r="I13" s="21" t="n">
        <v>0</v>
      </c>
      <c r="J13" s="32">
        <f>H13-I13</f>
        <v/>
      </c>
      <c r="K13" s="19" t="inlineStr">
        <is>
          <t>Not Booked</t>
        </is>
      </c>
      <c r="L13" s="19" t="inlineStr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Cake &amp; Desserts</t>
        </is>
      </c>
      <c r="E14" s="18" t="inlineStr">
        <is>
          <t>Wedding cake + dessert bar</t>
        </is>
      </c>
      <c r="F14" s="18" t="inlineStr">
        <is>
          <t>Sweet Layers</t>
        </is>
      </c>
      <c r="G14" s="20" t="n">
        <v>800</v>
      </c>
      <c r="H14" s="20" t="n">
        <v>750</v>
      </c>
      <c r="I14" s="20" t="n">
        <v>375</v>
      </c>
      <c r="J14" s="31">
        <f>H14-I14</f>
        <v/>
      </c>
      <c r="K14" s="18" t="inlineStr">
        <is>
          <t>Deposit</t>
        </is>
      </c>
      <c r="L14" s="18" t="inlineStr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Favors &amp; Gifts</t>
        </is>
      </c>
      <c r="E15" s="19" t="inlineStr">
        <is>
          <t>Guest favors + party gifts</t>
        </is>
      </c>
      <c r="F15" s="19" t="inlineStr">
        <is>
          <t>TBD</t>
        </is>
      </c>
      <c r="G15" s="21" t="n">
        <v>700</v>
      </c>
      <c r="H15" s="21" t="n">
        <v>600</v>
      </c>
      <c r="I15" s="21" t="n">
        <v>0</v>
      </c>
      <c r="J15" s="32">
        <f>H15-I15</f>
        <v/>
      </c>
      <c r="K15" s="19" t="inlineStr">
        <is>
          <t>Not Started</t>
        </is>
      </c>
      <c r="L15" s="19" t="inlineStr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33" t="inlineStr">
        <is>
          <t>TOTALS</t>
        </is>
      </c>
      <c r="E16" s="33" t="n"/>
      <c r="F16" s="33" t="n"/>
      <c r="G16" s="34">
        <f>SUM(G6:G15)</f>
        <v/>
      </c>
      <c r="H16" s="34">
        <f>SUM(H6:H15)</f>
        <v/>
      </c>
      <c r="I16" s="34">
        <f>SUM(I6:I15)</f>
        <v/>
      </c>
      <c r="J16" s="34">
        <f>SUM(J6:J15)</f>
        <v/>
      </c>
      <c r="K16" s="33" t="n"/>
      <c r="L16" s="3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24" customHeight="1">
      <c r="A18" s="1" t="n"/>
      <c r="B18" s="1" t="n"/>
      <c r="C18" s="2" t="n"/>
      <c r="D18" s="6" t="inlineStr">
        <is>
          <t>BUDGET ANALYTICS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17" t="inlineStr">
        <is>
          <t>Category</t>
        </is>
      </c>
      <c r="E19" s="17" t="inlineStr">
        <is>
          <t>Actual</t>
        </is>
      </c>
      <c r="F19" s="2" t="n"/>
      <c r="G19" s="17" t="inlineStr">
        <is>
          <t>Month</t>
        </is>
      </c>
      <c r="H19" s="17" t="inlineStr">
        <is>
          <t>Cumulative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>
        <f>D6</f>
        <v/>
      </c>
      <c r="E20" s="2">
        <f>H6</f>
        <v/>
      </c>
      <c r="F20" s="2" t="n"/>
      <c r="G20" s="2" t="inlineStr">
        <is>
          <t>Jan</t>
        </is>
      </c>
      <c r="H20" s="28" t="n">
        <v>2000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>
        <f>D7</f>
        <v/>
      </c>
      <c r="E21" s="2">
        <f>H7</f>
        <v/>
      </c>
      <c r="F21" s="2" t="n"/>
      <c r="G21" s="2" t="inlineStr">
        <is>
          <t>Feb</t>
        </is>
      </c>
      <c r="H21" s="28" t="n">
        <v>5500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>
        <f>D8</f>
        <v/>
      </c>
      <c r="E22" s="2">
        <f>H8</f>
        <v/>
      </c>
      <c r="F22" s="2" t="n"/>
      <c r="G22" s="2" t="inlineStr">
        <is>
          <t>Mar</t>
        </is>
      </c>
      <c r="H22" s="28" t="n">
        <v>8000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>
        <f>D9</f>
        <v/>
      </c>
      <c r="E23" s="2">
        <f>H9</f>
        <v/>
      </c>
      <c r="F23" s="2" t="n"/>
      <c r="G23" s="2" t="inlineStr">
        <is>
          <t>Apr</t>
        </is>
      </c>
      <c r="H23" s="28" t="n">
        <v>12000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>
        <f>D10</f>
        <v/>
      </c>
      <c r="E24" s="2">
        <f>H10</f>
        <v/>
      </c>
      <c r="F24" s="2" t="n"/>
      <c r="G24" s="2" t="inlineStr">
        <is>
          <t>May</t>
        </is>
      </c>
      <c r="H24" s="28" t="n">
        <v>16000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7" t="inlineStr">
        <is>
          <t>BUDGET</t>
        </is>
      </c>
      <c r="C25" s="2" t="n"/>
      <c r="D25" s="2">
        <f>D11</f>
        <v/>
      </c>
      <c r="E25" s="2">
        <f>H11</f>
        <v/>
      </c>
      <c r="F25" s="2" t="n"/>
      <c r="G25" s="2" t="inlineStr">
        <is>
          <t>Jun</t>
        </is>
      </c>
      <c r="H25" s="28" t="n">
        <v>22000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>
        <f>D12</f>
        <v/>
      </c>
      <c r="E26" s="2">
        <f>H12</f>
        <v/>
      </c>
      <c r="F26" s="2" t="n"/>
      <c r="G26" s="2" t="inlineStr">
        <is>
          <t>Jul</t>
        </is>
      </c>
      <c r="H26" s="28" t="n">
        <v>28000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>
        <f>D13</f>
        <v/>
      </c>
      <c r="E27" s="2">
        <f>H13</f>
        <v/>
      </c>
      <c r="F27" s="2" t="n"/>
      <c r="G27" s="2" t="inlineStr">
        <is>
          <t>Aug</t>
        </is>
      </c>
      <c r="H27" s="28" t="n">
        <v>33000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>
        <f>D14</f>
        <v/>
      </c>
      <c r="E28" s="2">
        <f>H14</f>
        <v/>
      </c>
      <c r="F28" s="2" t="n"/>
      <c r="G28" s="2" t="inlineStr">
        <is>
          <t>Sep</t>
        </is>
      </c>
      <c r="H28" s="28" t="n">
        <v>38000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>
        <f>D15</f>
        <v/>
      </c>
      <c r="E29" s="2">
        <f>H15</f>
        <v/>
      </c>
      <c r="F29" s="2" t="n"/>
      <c r="G29" s="2" t="inlineStr">
        <is>
          <t>Oct</t>
        </is>
      </c>
      <c r="H29" s="28" t="n">
        <v>41000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inlineStr">
        <is>
          <t>Nov</t>
        </is>
      </c>
      <c r="H30" s="28" t="n">
        <v>43000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inlineStr">
        <is>
          <t>Dec</t>
        </is>
      </c>
      <c r="H31" s="28" t="n">
        <v>45000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6" t="inlineStr">
        <is>
          <t>SPENDING DISTRIBUTION BY CATEGORY</t>
        </is>
      </c>
      <c r="K33" s="2" t="n"/>
      <c r="L33" s="26" t="inlineStr">
        <is>
          <t>CUMULATIVE SPENDING TREND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7" t="inlineStr">
        <is>
          <t>Where your money is going — see which categories consume the largest share of your budget</t>
        </is>
      </c>
      <c r="K34" s="2" t="n"/>
      <c r="L34" s="27" t="inlineStr">
        <is>
          <t>Track total spending month-by-month against your overall budget limit to stay on pace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7">
    <mergeCell ref="D18:Q18"/>
    <mergeCell ref="D2:L2"/>
    <mergeCell ref="L33:R33"/>
    <mergeCell ref="L34:R34"/>
    <mergeCell ref="D34:J34"/>
    <mergeCell ref="D33:J33"/>
    <mergeCell ref="D4:Q4"/>
  </mergeCells>
  <conditionalFormatting sqref="I6:I15">
    <cfRule type="dataBar" priority="1">
      <dataBar>
        <cfvo type="min"/>
        <cfvo type="max"/>
        <color rgb="00768975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13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CONTACT DIRECTORY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VENDOR &amp; KEY CONTACTS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Name</t>
        </is>
      </c>
      <c r="E5" s="17" t="inlineStr">
        <is>
          <t>Role / Company</t>
        </is>
      </c>
      <c r="F5" s="17" t="inlineStr">
        <is>
          <t>Phone</t>
        </is>
      </c>
      <c r="G5" s="17" t="inlineStr">
        <is>
          <t>Email</t>
        </is>
      </c>
      <c r="H5" s="17" t="inlineStr">
        <is>
          <t>Address</t>
        </is>
      </c>
      <c r="I5" s="17" t="inlineStr">
        <is>
          <t>Notes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Tom Hardy</t>
        </is>
      </c>
      <c r="E6" s="18" t="inlineStr">
        <is>
          <t>Rosewood Gardens (Venue)</t>
        </is>
      </c>
      <c r="F6" s="18" t="inlineStr">
        <is>
          <t>555-1001</t>
        </is>
      </c>
      <c r="G6" s="18" t="inlineStr">
        <is>
          <t>tom@rosewood.com</t>
        </is>
      </c>
      <c r="H6" s="18" t="inlineStr">
        <is>
          <t>123 Hill Rd</t>
        </is>
      </c>
      <c r="I6" s="18" t="inlineStr">
        <is>
          <t>Event coordinator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Chef Marco</t>
        </is>
      </c>
      <c r="E7" s="19" t="inlineStr">
        <is>
          <t>Bella Cucina (Catering)</t>
        </is>
      </c>
      <c r="F7" s="19" t="inlineStr">
        <is>
          <t>555-1002</t>
        </is>
      </c>
      <c r="G7" s="19" t="inlineStr">
        <is>
          <t>marco@bella.com</t>
        </is>
      </c>
      <c r="H7" s="19" t="inlineStr">
        <is>
          <t>456 Main St</t>
        </is>
      </c>
      <c r="I7" s="19" t="inlineStr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Amy Park</t>
        </is>
      </c>
      <c r="E8" s="18" t="inlineStr">
        <is>
          <t>Lens &amp; Light (Photo)</t>
        </is>
      </c>
      <c r="F8" s="18" t="inlineStr">
        <is>
          <t>555-1003</t>
        </is>
      </c>
      <c r="G8" s="18" t="inlineStr">
        <is>
          <t>amy@lens.com</t>
        </is>
      </c>
      <c r="H8" s="18" t="inlineStr"/>
      <c r="I8" s="18" t="inlineStr">
        <is>
          <t>Lead photographer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Nina Rose</t>
        </is>
      </c>
      <c r="E9" s="19" t="inlineStr">
        <is>
          <t>Bloom &amp; Wild (Florals)</t>
        </is>
      </c>
      <c r="F9" s="19" t="inlineStr">
        <is>
          <t>555-1004</t>
        </is>
      </c>
      <c r="G9" s="19" t="inlineStr">
        <is>
          <t>nina@bloom.com</t>
        </is>
      </c>
      <c r="H9" s="19" t="inlineStr">
        <is>
          <t>789 Flower Ln</t>
        </is>
      </c>
      <c r="I9" s="19" t="inlineStr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Dave King</t>
        </is>
      </c>
      <c r="E10" s="18" t="inlineStr">
        <is>
          <t>DJ Smooth (Entertainment)</t>
        </is>
      </c>
      <c r="F10" s="18" t="inlineStr">
        <is>
          <t>555-1005</t>
        </is>
      </c>
      <c r="G10" s="18" t="inlineStr">
        <is>
          <t>dave@dj.com</t>
        </is>
      </c>
      <c r="H10" s="18" t="inlineStr"/>
      <c r="I10" s="18" t="inlineStr">
        <is>
          <t>Setup at 2pm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7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GUEST LIST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GUEST TRACKER</t>
        </is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Guest Name</t>
        </is>
      </c>
      <c r="E5" s="17" t="inlineStr">
        <is>
          <t>Email</t>
        </is>
      </c>
      <c r="F5" s="17" t="inlineStr">
        <is>
          <t>Phone</t>
        </is>
      </c>
      <c r="G5" s="17" t="inlineStr">
        <is>
          <t>Party</t>
        </is>
      </c>
      <c r="H5" s="17" t="inlineStr">
        <is>
          <t>RSVP Status</t>
        </is>
      </c>
      <c r="I5" s="17" t="inlineStr">
        <is>
          <t>Meal Choice</t>
        </is>
      </c>
      <c r="J5" s="17" t="inlineStr">
        <is>
          <t>Table #</t>
        </is>
      </c>
      <c r="K5" s="17" t="inlineStr">
        <is>
          <t>Plus One</t>
        </is>
      </c>
      <c r="L5" s="17" t="inlineStr">
        <is>
          <t>Invite Sent</t>
        </is>
      </c>
      <c r="M5" s="17" t="inlineStr">
        <is>
          <t>Notes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Emma Johnson</t>
        </is>
      </c>
      <c r="E6" s="18" t="inlineStr">
        <is>
          <t>emma@email.com</t>
        </is>
      </c>
      <c r="F6" s="18" t="inlineStr">
        <is>
          <t>555-0101</t>
        </is>
      </c>
      <c r="G6" s="18" t="inlineStr">
        <is>
          <t>Bride</t>
        </is>
      </c>
      <c r="H6" s="18" t="inlineStr">
        <is>
          <t>Attending</t>
        </is>
      </c>
      <c r="I6" s="18" t="inlineStr">
        <is>
          <t>Chicken</t>
        </is>
      </c>
      <c r="J6" s="29" t="n">
        <v>1</v>
      </c>
      <c r="K6" s="18" t="inlineStr">
        <is>
          <t>Yes</t>
        </is>
      </c>
      <c r="L6" s="18" t="inlineStr">
        <is>
          <t>Yes</t>
        </is>
      </c>
      <c r="M6" s="18" t="inlineStr">
        <is>
          <t>College friend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James Wilson</t>
        </is>
      </c>
      <c r="E7" s="19" t="inlineStr">
        <is>
          <t>james@email.com</t>
        </is>
      </c>
      <c r="F7" s="19" t="inlineStr">
        <is>
          <t>555-0102</t>
        </is>
      </c>
      <c r="G7" s="19" t="inlineStr">
        <is>
          <t>Groom</t>
        </is>
      </c>
      <c r="H7" s="19" t="inlineStr">
        <is>
          <t>Attending</t>
        </is>
      </c>
      <c r="I7" s="19" t="inlineStr">
        <is>
          <t>Beef</t>
        </is>
      </c>
      <c r="J7" s="30" t="n">
        <v>1</v>
      </c>
      <c r="K7" s="19" t="inlineStr">
        <is>
          <t>No</t>
        </is>
      </c>
      <c r="L7" s="19" t="inlineStr">
        <is>
          <t>Yes</t>
        </is>
      </c>
      <c r="M7" s="19" t="inlineStr">
        <is>
          <t>Best man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Sophie Chen</t>
        </is>
      </c>
      <c r="E8" s="18" t="inlineStr">
        <is>
          <t>sophie@email.com</t>
        </is>
      </c>
      <c r="F8" s="18" t="inlineStr">
        <is>
          <t>555-0103</t>
        </is>
      </c>
      <c r="G8" s="18" t="inlineStr">
        <is>
          <t>Bride</t>
        </is>
      </c>
      <c r="H8" s="18" t="inlineStr">
        <is>
          <t>Pending</t>
        </is>
      </c>
      <c r="I8" s="18" t="inlineStr">
        <is>
          <t>Vegetarian</t>
        </is>
      </c>
      <c r="J8" s="29" t="n">
        <v>2</v>
      </c>
      <c r="K8" s="18" t="inlineStr">
        <is>
          <t>Yes</t>
        </is>
      </c>
      <c r="L8" s="18" t="inlineStr">
        <is>
          <t>Yes</t>
        </is>
      </c>
      <c r="M8" s="18" t="inlineStr">
        <is>
          <t>Cousin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Robert Taylor</t>
        </is>
      </c>
      <c r="E9" s="19" t="inlineStr">
        <is>
          <t>rob@email.com</t>
        </is>
      </c>
      <c r="F9" s="19" t="inlineStr">
        <is>
          <t>555-0104</t>
        </is>
      </c>
      <c r="G9" s="19" t="inlineStr">
        <is>
          <t>Groom</t>
        </is>
      </c>
      <c r="H9" s="19" t="inlineStr">
        <is>
          <t>Declined</t>
        </is>
      </c>
      <c r="I9" s="19" t="inlineStr"/>
      <c r="J9" s="19" t="inlineStr"/>
      <c r="K9" s="19" t="inlineStr">
        <is>
          <t>No</t>
        </is>
      </c>
      <c r="L9" s="19" t="inlineStr">
        <is>
          <t>Yes</t>
        </is>
      </c>
      <c r="M9" s="19" t="inlineStr">
        <is>
          <t>Work colleague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Maria Garcia</t>
        </is>
      </c>
      <c r="E10" s="18" t="inlineStr">
        <is>
          <t>maria@email.com</t>
        </is>
      </c>
      <c r="F10" s="18" t="inlineStr">
        <is>
          <t>555-0105</t>
        </is>
      </c>
      <c r="G10" s="18" t="inlineStr">
        <is>
          <t>Bride</t>
        </is>
      </c>
      <c r="H10" s="18" t="inlineStr">
        <is>
          <t>Attending</t>
        </is>
      </c>
      <c r="I10" s="18" t="inlineStr">
        <is>
          <t>Fish</t>
        </is>
      </c>
      <c r="J10" s="29" t="n">
        <v>2</v>
      </c>
      <c r="K10" s="18" t="inlineStr">
        <is>
          <t>Yes</t>
        </is>
      </c>
      <c r="L10" s="18" t="inlineStr">
        <is>
          <t>Yes</t>
        </is>
      </c>
      <c r="M10" s="18" t="inlineStr">
        <is>
          <t>Sister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33" t="inlineStr">
        <is>
          <t>TOTAL INVITED</t>
        </is>
      </c>
      <c r="E12" s="33">
        <f>COUNTA(D6:D200)</f>
        <v/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24" customHeight="1">
      <c r="A14" s="1" t="n"/>
      <c r="B14" s="1" t="n"/>
      <c r="C14" s="2" t="n"/>
      <c r="D14" s="6" t="inlineStr">
        <is>
          <t>GUEST ANALYTICS</t>
        </is>
      </c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7" t="inlineStr">
        <is>
          <t>RSVP Status</t>
        </is>
      </c>
      <c r="E15" s="17" t="inlineStr">
        <is>
          <t>Count</t>
        </is>
      </c>
      <c r="F15" s="2" t="n"/>
      <c r="G15" s="17" t="inlineStr">
        <is>
          <t>Meal Choice</t>
        </is>
      </c>
      <c r="H15" s="17" t="inlineStr">
        <is>
          <t>Count</t>
        </is>
      </c>
      <c r="I15" s="2" t="n"/>
      <c r="J15" s="17" t="inlineStr">
        <is>
          <t>Party</t>
        </is>
      </c>
      <c r="K15" s="17" t="inlineStr">
        <is>
          <t>Count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inlineStr">
        <is>
          <t>Attending</t>
        </is>
      </c>
      <c r="E16" s="2">
        <f>COUNTIF(H6:H200,"Attending")</f>
        <v/>
      </c>
      <c r="F16" s="2" t="n"/>
      <c r="G16" s="2" t="inlineStr">
        <is>
          <t>Chicken</t>
        </is>
      </c>
      <c r="H16" s="2">
        <f>COUNTIF(I6:I200,"Chicken")</f>
        <v/>
      </c>
      <c r="I16" s="2" t="n"/>
      <c r="J16" s="2" t="inlineStr">
        <is>
          <t>Bride</t>
        </is>
      </c>
      <c r="K16" s="2">
        <f>COUNTIF(G6:G200,"Bride")</f>
        <v/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inlineStr">
        <is>
          <t>Pending</t>
        </is>
      </c>
      <c r="E17" s="2">
        <f>COUNTIF(H6:H200,"Pending")</f>
        <v/>
      </c>
      <c r="F17" s="2" t="n"/>
      <c r="G17" s="2" t="inlineStr">
        <is>
          <t>Beef</t>
        </is>
      </c>
      <c r="H17" s="2">
        <f>COUNTIF(I6:I200,"Beef")</f>
        <v/>
      </c>
      <c r="I17" s="2" t="n"/>
      <c r="J17" s="2" t="inlineStr">
        <is>
          <t>Groom</t>
        </is>
      </c>
      <c r="K17" s="2">
        <f>COUNTIF(G6:G200,"Groom")</f>
        <v/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inlineStr">
        <is>
          <t>Declined</t>
        </is>
      </c>
      <c r="E18" s="2">
        <f>COUNTIF(H6:H200,"Declined")</f>
        <v/>
      </c>
      <c r="F18" s="2" t="n"/>
      <c r="G18" s="2" t="inlineStr">
        <is>
          <t>Fish</t>
        </is>
      </c>
      <c r="H18" s="2">
        <f>COUNTIF(I6:I200,"Fish")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inlineStr">
        <is>
          <t>No Response</t>
        </is>
      </c>
      <c r="E19" s="2">
        <f>COUNTIF(H6:H200,"No Response")</f>
        <v/>
      </c>
      <c r="F19" s="2" t="n"/>
      <c r="G19" s="2" t="inlineStr">
        <is>
          <t>Vegetarian</t>
        </is>
      </c>
      <c r="H19" s="2">
        <f>COUNTIF(I6:I200,"Vegetarian")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inlineStr">
        <is>
          <t>Vegan</t>
        </is>
      </c>
      <c r="H20" s="2">
        <f>COUNTIF(I6:I200,"Vegan")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6" t="inlineStr">
        <is>
          <t>RSVP RESPONSE BREAKDOWN</t>
        </is>
      </c>
      <c r="K22" s="2" t="n"/>
      <c r="L22" s="26" t="inlineStr">
        <is>
          <t>MEAL SELECTION DISTRIBUTION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7" t="inlineStr">
        <is>
          <t>Visual breakdown of guest responses — see at a glance how many have confirmed, are pending, or declined</t>
        </is>
      </c>
      <c r="K23" s="2" t="n"/>
      <c r="L23" s="27" t="inlineStr">
        <is>
          <t>Guest meal preferences for catering coordination — share these totals directly with your caterer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7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6" t="inlineStr">
        <is>
          <t>GUESTS BY PARTY SIDE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7" t="inlineStr">
        <is>
          <t>See the balance of guests from the bride's side vs groom's side for seating and planning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9">
    <mergeCell ref="D2:L2"/>
    <mergeCell ref="D22:J22"/>
    <mergeCell ref="L23:R23"/>
    <mergeCell ref="D14:S14"/>
    <mergeCell ref="D4:S4"/>
    <mergeCell ref="L22:R22"/>
    <mergeCell ref="D42:J42"/>
    <mergeCell ref="D43:J43"/>
    <mergeCell ref="D23:J23"/>
  </mergeCells>
  <conditionalFormatting sqref="H6:H200">
    <cfRule type="containsText" priority="1" operator="containsText" dxfId="0" text="Complete">
      <formula>NOT(ISERROR(SEARCH("Complete",H6)))</formula>
    </cfRule>
    <cfRule type="containsText" priority="2" operator="containsText" dxfId="1" text="In Progress">
      <formula>NOT(ISERROR(SEARCH("In Progress",H6)))</formula>
    </cfRule>
    <cfRule type="containsText" priority="3" operator="containsText" dxfId="2" text="Not Started">
      <formula>NOT(ISERROR(SEARCH("Not Started",H6)))</formula>
    </cfRule>
  </conditionalFormatting>
  <dataValidations count="4">
    <dataValidation sqref="H6:H200" showDropDown="0" showInputMessage="0" showErrorMessage="0" allowBlank="1" errorTitle="Invalid Entry" error="Please select from the dropdown list." type="list">
      <formula1>"Attending,Pending,Declined,No Response"</formula1>
    </dataValidation>
    <dataValidation sqref="I6:I200" showDropDown="0" showInputMessage="0" showErrorMessage="0" allowBlank="1" errorTitle="Invalid Entry" error="Please select from the dropdown list." type="list">
      <formula1>"Chicken,Beef,Fish,Vegetarian,Vegan"</formula1>
    </dataValidation>
    <dataValidation sqref="K6:K200" showDropDown="0" showInputMessage="0" showErrorMessage="0" allowBlank="1" errorTitle="Invalid Entry" error="Please select from the dropdown list." type="list">
      <formula1>"Yes,No"</formula1>
    </dataValidation>
    <dataValidation sqref="L6:L200" showDropDown="0" showInputMessage="0" showErrorMessage="0" allowBlank="1" errorTitle="Invalid Entry" error="Please select from the dropdown list." type="list">
      <formula1>"Yes,No"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15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SEATING PLAN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TABLE ASSIGNMENTS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Table #</t>
        </is>
      </c>
      <c r="E5" s="17" t="inlineStr">
        <is>
          <t>Guest 1</t>
        </is>
      </c>
      <c r="F5" s="17" t="inlineStr">
        <is>
          <t>Guest 2</t>
        </is>
      </c>
      <c r="G5" s="17" t="inlineStr">
        <is>
          <t>Guest 3</t>
        </is>
      </c>
      <c r="H5" s="17" t="inlineStr">
        <is>
          <t>Guest 4</t>
        </is>
      </c>
      <c r="I5" s="17" t="inlineStr">
        <is>
          <t>Guest 5</t>
        </is>
      </c>
      <c r="J5" s="17" t="inlineStr">
        <is>
          <t>Guest 6</t>
        </is>
      </c>
      <c r="K5" s="17" t="inlineStr">
        <is>
          <t>Guest 7</t>
        </is>
      </c>
      <c r="L5" s="17" t="inlineStr">
        <is>
          <t>Guest 8</t>
        </is>
      </c>
      <c r="M5" s="17" t="inlineStr">
        <is>
          <t>Seats Used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29" t="n">
        <v>1</v>
      </c>
      <c r="E6" s="18" t="inlineStr">
        <is>
          <t>Emma Johnson</t>
        </is>
      </c>
      <c r="F6" s="18" t="inlineStr">
        <is>
          <t>James Wilson</t>
        </is>
      </c>
      <c r="G6" s="18" t="inlineStr">
        <is>
          <t>Maria Garcia</t>
        </is>
      </c>
      <c r="H6" s="18" t="inlineStr">
        <is>
          <t>+1 Emma</t>
        </is>
      </c>
      <c r="I6" s="18" t="inlineStr">
        <is>
          <t>+1 Maria</t>
        </is>
      </c>
      <c r="J6" s="18" t="inlineStr"/>
      <c r="K6" s="18" t="inlineStr"/>
      <c r="L6" s="18" t="inlineStr"/>
      <c r="M6" s="18">
        <f>COUNTA(E6:K6)</f>
        <v/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30" t="n">
        <v>2</v>
      </c>
      <c r="E7" s="19" t="inlineStr">
        <is>
          <t>Sophie Chen</t>
        </is>
      </c>
      <c r="F7" s="19" t="inlineStr">
        <is>
          <t>+1 Sophie</t>
        </is>
      </c>
      <c r="G7" s="19" t="inlineStr"/>
      <c r="H7" s="19" t="inlineStr"/>
      <c r="I7" s="19" t="inlineStr"/>
      <c r="J7" s="19" t="inlineStr"/>
      <c r="K7" s="19" t="inlineStr"/>
      <c r="L7" s="19" t="inlineStr"/>
      <c r="M7" s="19">
        <f>COUNTA(E7:K7)</f>
        <v/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29" t="n">
        <v>3</v>
      </c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>
        <f>COUNTA(E8:K8)</f>
        <v/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30" t="n">
        <v>4</v>
      </c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>
        <f>COUNTA(E9:K9)</f>
        <v/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29" t="n">
        <v>5</v>
      </c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>
        <f>COUNTA(E10:K10)</f>
        <v/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7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WEDDING PARTY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BRIDAL PARTY &amp; GROOMSMEN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Name</t>
        </is>
      </c>
      <c r="E5" s="17" t="inlineStr">
        <is>
          <t>Role</t>
        </is>
      </c>
      <c r="F5" s="17" t="inlineStr">
        <is>
          <t>Side</t>
        </is>
      </c>
      <c r="G5" s="17" t="inlineStr">
        <is>
          <t>Phone</t>
        </is>
      </c>
      <c r="H5" s="17" t="inlineStr">
        <is>
          <t>Email</t>
        </is>
      </c>
      <c r="I5" s="17" t="inlineStr">
        <is>
          <t>Outfit Status</t>
        </is>
      </c>
      <c r="J5" s="17" t="inlineStr">
        <is>
          <t>Gift</t>
        </is>
      </c>
      <c r="K5" s="17" t="inlineStr">
        <is>
          <t>Notes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James Wilson</t>
        </is>
      </c>
      <c r="E6" s="18" t="inlineStr">
        <is>
          <t>Best Man</t>
        </is>
      </c>
      <c r="F6" s="18" t="inlineStr">
        <is>
          <t>Groom</t>
        </is>
      </c>
      <c r="G6" s="18" t="inlineStr">
        <is>
          <t>555-0102</t>
        </is>
      </c>
      <c r="H6" s="18" t="inlineStr">
        <is>
          <t>james@email.com</t>
        </is>
      </c>
      <c r="I6" s="18" t="inlineStr">
        <is>
          <t>Fitted</t>
        </is>
      </c>
      <c r="J6" s="18" t="inlineStr">
        <is>
          <t>Watch</t>
        </is>
      </c>
      <c r="K6" s="18" t="inlineStr">
        <is>
          <t>Giving speech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Lisa Park</t>
        </is>
      </c>
      <c r="E7" s="19" t="inlineStr">
        <is>
          <t>Maid of Honor</t>
        </is>
      </c>
      <c r="F7" s="19" t="inlineStr">
        <is>
          <t>Bride</t>
        </is>
      </c>
      <c r="G7" s="19" t="inlineStr">
        <is>
          <t>555-0201</t>
        </is>
      </c>
      <c r="H7" s="19" t="inlineStr">
        <is>
          <t>lisa@email.com</t>
        </is>
      </c>
      <c r="I7" s="19" t="inlineStr">
        <is>
          <t>Ordered</t>
        </is>
      </c>
      <c r="J7" s="19" t="inlineStr">
        <is>
          <t>Necklace</t>
        </is>
      </c>
      <c r="K7" s="19" t="inlineStr">
        <is>
          <t>Giving speech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Tom Brown</t>
        </is>
      </c>
      <c r="E8" s="18" t="inlineStr">
        <is>
          <t>Groomsman</t>
        </is>
      </c>
      <c r="F8" s="18" t="inlineStr">
        <is>
          <t>Groom</t>
        </is>
      </c>
      <c r="G8" s="18" t="inlineStr">
        <is>
          <t>555-0202</t>
        </is>
      </c>
      <c r="H8" s="18" t="inlineStr">
        <is>
          <t>tom@email.com</t>
        </is>
      </c>
      <c r="I8" s="18" t="inlineStr">
        <is>
          <t>Fitted</t>
        </is>
      </c>
      <c r="J8" s="18" t="inlineStr">
        <is>
          <t>Cufflinks</t>
        </is>
      </c>
      <c r="K8" s="18" t="inlineStr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Rachel Green</t>
        </is>
      </c>
      <c r="E9" s="19" t="inlineStr">
        <is>
          <t>Bridesmaid</t>
        </is>
      </c>
      <c r="F9" s="19" t="inlineStr">
        <is>
          <t>Bride</t>
        </is>
      </c>
      <c r="G9" s="19" t="inlineStr">
        <is>
          <t>555-0203</t>
        </is>
      </c>
      <c r="H9" s="19" t="inlineStr">
        <is>
          <t>rachel@email.com</t>
        </is>
      </c>
      <c r="I9" s="19" t="inlineStr">
        <is>
          <t>Ordered</t>
        </is>
      </c>
      <c r="J9" s="19" t="inlineStr">
        <is>
          <t>Earrings</t>
        </is>
      </c>
      <c r="K9" s="19" t="inlineStr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Mike Chen</t>
        </is>
      </c>
      <c r="E10" s="18" t="inlineStr">
        <is>
          <t>Groomsman</t>
        </is>
      </c>
      <c r="F10" s="18" t="inlineStr">
        <is>
          <t>Groom</t>
        </is>
      </c>
      <c r="G10" s="18" t="inlineStr">
        <is>
          <t>555-0204</t>
        </is>
      </c>
      <c r="H10" s="18" t="inlineStr">
        <is>
          <t>mike@email.com</t>
        </is>
      </c>
      <c r="I10" s="18" t="inlineStr">
        <is>
          <t>Pending</t>
        </is>
      </c>
      <c r="J10" s="18" t="inlineStr">
        <is>
          <t>Cufflinks</t>
        </is>
      </c>
      <c r="K10" s="18" t="inlineStr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7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Q4"/>
  </mergeCells>
  <dataValidations count="1">
    <dataValidation sqref="I6:I30" showDropDown="0" showInputMessage="0" showErrorMessage="0" allowBlank="1" errorTitle="Invalid Entry" error="Please select from the dropdown list." type="list">
      <formula1>"Fitted,Ordered,Pending,Complete"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FOOD &amp; DRINKS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MENU &amp; CATERING TRACKER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Item</t>
        </is>
      </c>
      <c r="E5" s="17" t="inlineStr">
        <is>
          <t>Category</t>
        </is>
      </c>
      <c r="F5" s="17" t="inlineStr">
        <is>
          <t>Quantity</t>
        </is>
      </c>
      <c r="G5" s="17" t="inlineStr">
        <is>
          <t>Unit Cost</t>
        </is>
      </c>
      <c r="H5" s="17" t="inlineStr">
        <is>
          <t>Total Cost</t>
        </is>
      </c>
      <c r="I5" s="17" t="inlineStr">
        <is>
          <t>Dietary</t>
        </is>
      </c>
      <c r="J5" s="17" t="inlineStr">
        <is>
          <t>Notes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Chicken Parmesan</t>
        </is>
      </c>
      <c r="E6" s="18" t="inlineStr">
        <is>
          <t>Main Course</t>
        </is>
      </c>
      <c r="F6" s="29" t="n">
        <v>80</v>
      </c>
      <c r="G6" s="20" t="n">
        <v>35</v>
      </c>
      <c r="H6" s="31">
        <f>F6*G6</f>
        <v/>
      </c>
      <c r="I6" s="18" t="inlineStr">
        <is>
          <t>None</t>
        </is>
      </c>
      <c r="J6" s="18" t="inlineStr">
        <is>
          <t>Popular choice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Grilled Salmon</t>
        </is>
      </c>
      <c r="E7" s="19" t="inlineStr">
        <is>
          <t>Main Course</t>
        </is>
      </c>
      <c r="F7" s="30" t="n">
        <v>40</v>
      </c>
      <c r="G7" s="21" t="n">
        <v>42</v>
      </c>
      <c r="H7" s="32">
        <f>F7*G7</f>
        <v/>
      </c>
      <c r="I7" s="19" t="inlineStr">
        <is>
          <t>Pescatarian</t>
        </is>
      </c>
      <c r="J7" s="19" t="inlineStr">
        <is>
          <t>Fresh catch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Mushroom Risotto</t>
        </is>
      </c>
      <c r="E8" s="18" t="inlineStr">
        <is>
          <t>Main Course</t>
        </is>
      </c>
      <c r="F8" s="29" t="n">
        <v>30</v>
      </c>
      <c r="G8" s="20" t="n">
        <v>28</v>
      </c>
      <c r="H8" s="31">
        <f>F8*G8</f>
        <v/>
      </c>
      <c r="I8" s="18" t="inlineStr">
        <is>
          <t>Vegetarian</t>
        </is>
      </c>
      <c r="J8" s="18" t="inlineStr">
        <is>
          <t>Vegan option avail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Champagne Toast</t>
        </is>
      </c>
      <c r="E9" s="19" t="inlineStr">
        <is>
          <t>Beverages</t>
        </is>
      </c>
      <c r="F9" s="21" t="n">
        <v>150</v>
      </c>
      <c r="G9" s="21" t="n">
        <v>8</v>
      </c>
      <c r="H9" s="32">
        <f>F9*G9</f>
        <v/>
      </c>
      <c r="I9" s="19" t="inlineStr">
        <is>
          <t>None</t>
        </is>
      </c>
      <c r="J9" s="19" t="inlineStr">
        <is>
          <t>Veuve Clicquot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House Wine (bottle)</t>
        </is>
      </c>
      <c r="E10" s="18" t="inlineStr">
        <is>
          <t>Beverages</t>
        </is>
      </c>
      <c r="F10" s="29" t="n">
        <v>50</v>
      </c>
      <c r="G10" s="20" t="n">
        <v>12</v>
      </c>
      <c r="H10" s="31">
        <f>F10*G10</f>
        <v/>
      </c>
      <c r="I10" s="18" t="inlineStr">
        <is>
          <t>None</t>
        </is>
      </c>
      <c r="J10" s="18" t="inlineStr">
        <is>
          <t>Red &amp; white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Caesar Salad</t>
        </is>
      </c>
      <c r="E11" s="19" t="inlineStr">
        <is>
          <t>Appetizer</t>
        </is>
      </c>
      <c r="F11" s="21" t="n">
        <v>150</v>
      </c>
      <c r="G11" s="21" t="n">
        <v>5</v>
      </c>
      <c r="H11" s="32">
        <f>F11*G11</f>
        <v/>
      </c>
      <c r="I11" s="19" t="inlineStr">
        <is>
          <t>None</t>
        </is>
      </c>
      <c r="J11" s="19" t="inlineStr">
        <is>
          <t>Starter course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Bruschetta</t>
        </is>
      </c>
      <c r="E12" s="18" t="inlineStr">
        <is>
          <t>Appetizer</t>
        </is>
      </c>
      <c r="F12" s="29" t="n">
        <v>100</v>
      </c>
      <c r="G12" s="20" t="n">
        <v>4</v>
      </c>
      <c r="H12" s="31">
        <f>F12*G12</f>
        <v/>
      </c>
      <c r="I12" s="18" t="inlineStr">
        <is>
          <t>Vegetarian</t>
        </is>
      </c>
      <c r="J12" s="18" t="inlineStr">
        <is>
          <t>Passed during cocktail hr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33" t="inlineStr">
        <is>
          <t>TOTAL</t>
        </is>
      </c>
      <c r="E13" s="33" t="n"/>
      <c r="F13" s="33" t="n"/>
      <c r="G13" s="33" t="n"/>
      <c r="H13" s="34">
        <f>SUM(H6:H12)</f>
        <v/>
      </c>
      <c r="I13" s="33" t="n"/>
      <c r="J13" s="33" t="n"/>
      <c r="K13" s="33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24" customHeight="1">
      <c r="A15" s="1" t="n"/>
      <c r="B15" s="5" t="inlineStr">
        <is>
          <t>DAY OF</t>
        </is>
      </c>
      <c r="C15" s="2" t="n"/>
      <c r="D15" s="6" t="inlineStr">
        <is>
          <t>CATERING ANALYTICS</t>
        </is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17" t="inlineStr">
        <is>
          <t>Category</t>
        </is>
      </c>
      <c r="E16" s="17" t="inlineStr">
        <is>
          <t>Total Cost</t>
        </is>
      </c>
      <c r="F16" s="2" t="n"/>
      <c r="G16" s="17" t="inlineStr">
        <is>
          <t>Dietary Need</t>
        </is>
      </c>
      <c r="H16" s="17" t="inlineStr">
        <is>
          <t>Servings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inlineStr">
        <is>
          <t>Main Course</t>
        </is>
      </c>
      <c r="E17" s="2">
        <f>SUMIF(E6:E12,"Main Course",H6:H12)</f>
        <v/>
      </c>
      <c r="F17" s="2" t="n"/>
      <c r="G17" s="2" t="inlineStr">
        <is>
          <t>None</t>
        </is>
      </c>
      <c r="H17" s="2">
        <f>SUMIF(I6:I12,"None",F6:F12)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inlineStr">
        <is>
          <t>Beverages</t>
        </is>
      </c>
      <c r="E18" s="2">
        <f>SUMIF(E6:E12,"Beverages",H6:H12)</f>
        <v/>
      </c>
      <c r="F18" s="2" t="n"/>
      <c r="G18" s="2" t="inlineStr">
        <is>
          <t>Vegetarian</t>
        </is>
      </c>
      <c r="H18" s="2">
        <f>SUMIF(I6:I12,"Vegetarian",F6:F12)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inlineStr">
        <is>
          <t>Appetizer</t>
        </is>
      </c>
      <c r="E19" s="2">
        <f>SUMIF(E6:E12,"Appetizer",H6:H12)</f>
        <v/>
      </c>
      <c r="F19" s="2" t="n"/>
      <c r="G19" s="2" t="inlineStr">
        <is>
          <t>Pescatarian</t>
        </is>
      </c>
      <c r="H19" s="2">
        <f>SUMIF(I6:I12,"Pescatarian",F6:F12)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inlineStr">
        <is>
          <t>Vegan</t>
        </is>
      </c>
      <c r="H20" s="2">
        <f>SUMIF(I6:I12,"Vegan",F6:F12)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inlineStr">
        <is>
          <t>Gluten-Free</t>
        </is>
      </c>
      <c r="H21" s="2">
        <f>SUMIF(I6:I12,"Gluten-Free",F6:F12)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6" t="inlineStr">
        <is>
          <t>CATERING COST BY CATEGORY</t>
        </is>
      </c>
      <c r="K23" s="2" t="n"/>
      <c r="L23" s="26" t="inlineStr">
        <is>
          <t>DIETARY REQUIREMENTS BREAKDOWN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7" t="inlineStr">
        <is>
          <t>Distribution of food and beverage expenses across main courses, drinks, and appetizers</t>
        </is>
      </c>
      <c r="K24" s="2" t="n"/>
      <c r="L24" s="27" t="inlineStr">
        <is>
          <t>Number of servings needed per dietary category — use this for final catering headcounts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7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7">
    <mergeCell ref="D2:L2"/>
    <mergeCell ref="L23:R23"/>
    <mergeCell ref="D15:Q15"/>
    <mergeCell ref="D24:J24"/>
    <mergeCell ref="L24:R24"/>
    <mergeCell ref="D4:Q4"/>
    <mergeCell ref="D23:J23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18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PHOTO SHOT LIST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MUST-HAVE SHOTS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Shot Description</t>
        </is>
      </c>
      <c r="E5" s="17" t="inlineStr">
        <is>
          <t>When</t>
        </is>
      </c>
      <c r="F5" s="17" t="inlineStr">
        <is>
          <t>Location</t>
        </is>
      </c>
      <c r="G5" s="17" t="inlineStr">
        <is>
          <t>People</t>
        </is>
      </c>
      <c r="H5" s="17" t="inlineStr">
        <is>
          <t>Priority</t>
        </is>
      </c>
      <c r="I5" s="17" t="inlineStr">
        <is>
          <t>Captured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First look</t>
        </is>
      </c>
      <c r="E6" s="18" t="inlineStr">
        <is>
          <t>Pre-ceremony</t>
        </is>
      </c>
      <c r="F6" s="18" t="inlineStr">
        <is>
          <t>Garden</t>
        </is>
      </c>
      <c r="G6" s="18" t="inlineStr">
        <is>
          <t>Couple</t>
        </is>
      </c>
      <c r="H6" s="18" t="inlineStr">
        <is>
          <t>High</t>
        </is>
      </c>
      <c r="I6" s="18" t="inlineStr">
        <is>
          <t>No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Bride getting ready</t>
        </is>
      </c>
      <c r="E7" s="19" t="inlineStr">
        <is>
          <t>Morning</t>
        </is>
      </c>
      <c r="F7" s="19" t="inlineStr">
        <is>
          <t>Bridal suite</t>
        </is>
      </c>
      <c r="G7" s="19" t="inlineStr">
        <is>
          <t>Bride + bridesmaids</t>
        </is>
      </c>
      <c r="H7" s="19" t="inlineStr">
        <is>
          <t>High</t>
        </is>
      </c>
      <c r="I7" s="19" t="inlineStr">
        <is>
          <t>No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Ring exchange close-up</t>
        </is>
      </c>
      <c r="E8" s="18" t="inlineStr">
        <is>
          <t>Ceremony</t>
        </is>
      </c>
      <c r="F8" s="18" t="inlineStr">
        <is>
          <t>Altar</t>
        </is>
      </c>
      <c r="G8" s="18" t="inlineStr">
        <is>
          <t>Couple</t>
        </is>
      </c>
      <c r="H8" s="18" t="inlineStr">
        <is>
          <t>High</t>
        </is>
      </c>
      <c r="I8" s="18" t="inlineStr">
        <is>
          <t>No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First kiss</t>
        </is>
      </c>
      <c r="E9" s="19" t="inlineStr">
        <is>
          <t>Ceremony</t>
        </is>
      </c>
      <c r="F9" s="19" t="inlineStr">
        <is>
          <t>Altar</t>
        </is>
      </c>
      <c r="G9" s="19" t="inlineStr">
        <is>
          <t>Couple</t>
        </is>
      </c>
      <c r="H9" s="19" t="inlineStr">
        <is>
          <t>High</t>
        </is>
      </c>
      <c r="I9" s="19" t="inlineStr">
        <is>
          <t>No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Full bridal party</t>
        </is>
      </c>
      <c r="E10" s="18" t="inlineStr">
        <is>
          <t>Post-ceremony</t>
        </is>
      </c>
      <c r="F10" s="18" t="inlineStr">
        <is>
          <t>Garden</t>
        </is>
      </c>
      <c r="G10" s="18" t="inlineStr">
        <is>
          <t>Full party</t>
        </is>
      </c>
      <c r="H10" s="18" t="inlineStr">
        <is>
          <t>High</t>
        </is>
      </c>
      <c r="I10" s="18" t="inlineStr">
        <is>
          <t>No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Family formals</t>
        </is>
      </c>
      <c r="E11" s="19" t="inlineStr">
        <is>
          <t>Post-ceremony</t>
        </is>
      </c>
      <c r="F11" s="19" t="inlineStr">
        <is>
          <t>Garden</t>
        </is>
      </c>
      <c r="G11" s="19" t="inlineStr">
        <is>
          <t>Families</t>
        </is>
      </c>
      <c r="H11" s="19" t="inlineStr">
        <is>
          <t>High</t>
        </is>
      </c>
      <c r="I11" s="19" t="inlineStr">
        <is>
          <t>No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Couple sunset portraits</t>
        </is>
      </c>
      <c r="E12" s="18" t="inlineStr">
        <is>
          <t>Golden hour</t>
        </is>
      </c>
      <c r="F12" s="18" t="inlineStr">
        <is>
          <t>Garden</t>
        </is>
      </c>
      <c r="G12" s="18" t="inlineStr">
        <is>
          <t>Couple</t>
        </is>
      </c>
      <c r="H12" s="18" t="inlineStr">
        <is>
          <t>Medium</t>
        </is>
      </c>
      <c r="I12" s="18" t="inlineStr">
        <is>
          <t>No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First dance</t>
        </is>
      </c>
      <c r="E13" s="19" t="inlineStr">
        <is>
          <t>Reception</t>
        </is>
      </c>
      <c r="F13" s="19" t="inlineStr">
        <is>
          <t>Dance floor</t>
        </is>
      </c>
      <c r="G13" s="19" t="inlineStr">
        <is>
          <t>Couple</t>
        </is>
      </c>
      <c r="H13" s="19" t="inlineStr">
        <is>
          <t>High</t>
        </is>
      </c>
      <c r="I13" s="19" t="inlineStr">
        <is>
          <t>No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Cake cutting</t>
        </is>
      </c>
      <c r="E14" s="18" t="inlineStr">
        <is>
          <t>Reception</t>
        </is>
      </c>
      <c r="F14" s="18" t="inlineStr">
        <is>
          <t>Cake table</t>
        </is>
      </c>
      <c r="G14" s="18" t="inlineStr">
        <is>
          <t>Couple</t>
        </is>
      </c>
      <c r="H14" s="18" t="inlineStr">
        <is>
          <t>Medium</t>
        </is>
      </c>
      <c r="I14" s="18" t="inlineStr">
        <is>
          <t>No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Bouquet toss</t>
        </is>
      </c>
      <c r="E15" s="19" t="inlineStr">
        <is>
          <t>Reception</t>
        </is>
      </c>
      <c r="F15" s="19" t="inlineStr">
        <is>
          <t>Dance floor</t>
        </is>
      </c>
      <c r="G15" s="19" t="inlineStr">
        <is>
          <t>Bride + guests</t>
        </is>
      </c>
      <c r="H15" s="19" t="inlineStr">
        <is>
          <t>Low</t>
        </is>
      </c>
      <c r="I15" s="19" t="inlineStr">
        <is>
          <t>No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7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dataValidations count="2">
    <dataValidation sqref="H6:H50" showDropDown="0" showInputMessage="0" showErrorMessage="0" allowBlank="1" errorTitle="Invalid Entry" error="Please select from the dropdown list." type="list">
      <formula1>"High,Medium,Low"</formula1>
    </dataValidation>
    <dataValidation sqref="I6:I50" showDropDown="0" showInputMessage="0" showErrorMessage="0" allowBlank="1" errorTitle="Invalid Entry" error="Please select from the dropdown list." type="list">
      <formula1>"Yes,No"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INSPIRATION GALLERY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MOOD BOARD &amp; REFERENCES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Category</t>
        </is>
      </c>
      <c r="E5" s="17" t="inlineStr">
        <is>
          <t>Description</t>
        </is>
      </c>
      <c r="F5" s="17" t="inlineStr">
        <is>
          <t>Source / Link</t>
        </is>
      </c>
      <c r="G5" s="17" t="inlineStr">
        <is>
          <t>Notes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Ceremony arch</t>
        </is>
      </c>
      <c r="E6" s="18" t="inlineStr">
        <is>
          <t>Greenery + white flowers arch</t>
        </is>
      </c>
      <c r="F6" s="18" t="inlineStr">
        <is>
          <t>Pinterest</t>
        </is>
      </c>
      <c r="G6" s="18" t="inlineStr">
        <is>
          <t>Similar to venue garden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Centerpieces</t>
        </is>
      </c>
      <c r="E7" s="19" t="inlineStr">
        <is>
          <t>Mixed greens with candles</t>
        </is>
      </c>
      <c r="F7" s="19" t="inlineStr">
        <is>
          <t>Instagram @florist</t>
        </is>
      </c>
      <c r="G7" s="19" t="inlineStr">
        <is>
          <t>Rustic style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Cake design</t>
        </is>
      </c>
      <c r="E8" s="18" t="inlineStr">
        <is>
          <t>3-tier naked cake with berries</t>
        </is>
      </c>
      <c r="F8" s="18" t="inlineStr">
        <is>
          <t>Pinterest</t>
        </is>
      </c>
      <c r="G8" s="18" t="inlineStr">
        <is>
          <t>Semi-naked preferred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Bouquet</t>
        </is>
      </c>
      <c r="E9" s="19" t="inlineStr">
        <is>
          <t>Loose garden-style, sage + blush</t>
        </is>
      </c>
      <c r="F9" s="19" t="inlineStr">
        <is>
          <t>Magazine clipping</t>
        </is>
      </c>
      <c r="G9" s="19" t="inlineStr">
        <is>
          <t>Show florist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Table setting</t>
        </is>
      </c>
      <c r="E10" s="18" t="inlineStr">
        <is>
          <t>Gold cutlery, linen napkins</t>
        </is>
      </c>
      <c r="F10" s="18" t="inlineStr">
        <is>
          <t>Pinterest</t>
        </is>
      </c>
      <c r="G10" s="18" t="inlineStr">
        <is>
          <t>Matches theme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7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2">
    <mergeCell ref="D2:L2"/>
    <mergeCell ref="D4:O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MUSIC &amp; PLAYLIST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MUSIC SELECTIONS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Moment</t>
        </is>
      </c>
      <c r="E5" s="17" t="inlineStr">
        <is>
          <t>Song Title</t>
        </is>
      </c>
      <c r="F5" s="17" t="inlineStr">
        <is>
          <t>Artist</t>
        </is>
      </c>
      <c r="G5" s="17" t="inlineStr">
        <is>
          <t>Category</t>
        </is>
      </c>
      <c r="H5" s="17" t="inlineStr">
        <is>
          <t>Notes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Processional</t>
        </is>
      </c>
      <c r="E6" s="18" t="inlineStr">
        <is>
          <t>Canon in D</t>
        </is>
      </c>
      <c r="F6" s="18" t="inlineStr">
        <is>
          <t>Pachelbel</t>
        </is>
      </c>
      <c r="G6" s="18" t="inlineStr">
        <is>
          <t>Ceremony</t>
        </is>
      </c>
      <c r="H6" s="18" t="inlineStr">
        <is>
          <t>String quartet version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Bride entrance</t>
        </is>
      </c>
      <c r="E7" s="19" t="inlineStr">
        <is>
          <t>A Thousand Years</t>
        </is>
      </c>
      <c r="F7" s="19" t="inlineStr">
        <is>
          <t>Christina Perri</t>
        </is>
      </c>
      <c r="G7" s="19" t="inlineStr">
        <is>
          <t>Ceremony</t>
        </is>
      </c>
      <c r="H7" s="19" t="inlineStr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Recessional</t>
        </is>
      </c>
      <c r="E8" s="18" t="inlineStr">
        <is>
          <t>Signed, Sealed, Delivered</t>
        </is>
      </c>
      <c r="F8" s="18" t="inlineStr">
        <is>
          <t>Stevie Wonder</t>
        </is>
      </c>
      <c r="G8" s="18" t="inlineStr">
        <is>
          <t>Ceremony</t>
        </is>
      </c>
      <c r="H8" s="18" t="inlineStr">
        <is>
          <t>Upbeat exit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First dance</t>
        </is>
      </c>
      <c r="E9" s="19" t="inlineStr">
        <is>
          <t>Perfect</t>
        </is>
      </c>
      <c r="F9" s="19" t="inlineStr">
        <is>
          <t>Ed Sheeran</t>
        </is>
      </c>
      <c r="G9" s="19" t="inlineStr">
        <is>
          <t>Reception</t>
        </is>
      </c>
      <c r="H9" s="19" t="inlineStr">
        <is>
          <t>Practice needed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Father-daughter</t>
        </is>
      </c>
      <c r="E10" s="18" t="inlineStr">
        <is>
          <t>My Girl</t>
        </is>
      </c>
      <c r="F10" s="18" t="inlineStr">
        <is>
          <t>The Temptations</t>
        </is>
      </c>
      <c r="G10" s="18" t="inlineStr">
        <is>
          <t>Reception</t>
        </is>
      </c>
      <c r="H10" s="18" t="inlineStr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9" t="inlineStr">
        <is>
          <t>Mother-son</t>
        </is>
      </c>
      <c r="E11" s="19" t="inlineStr">
        <is>
          <t>What a Wonderful World</t>
        </is>
      </c>
      <c r="F11" s="19" t="inlineStr">
        <is>
          <t>Louis Armstrong</t>
        </is>
      </c>
      <c r="G11" s="19" t="inlineStr">
        <is>
          <t>Reception</t>
        </is>
      </c>
      <c r="H11" s="19" t="inlineStr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Cake cutting</t>
        </is>
      </c>
      <c r="E12" s="18" t="inlineStr">
        <is>
          <t>You're My Best Friend</t>
        </is>
      </c>
      <c r="F12" s="18" t="inlineStr">
        <is>
          <t>Queen</t>
        </is>
      </c>
      <c r="G12" s="18" t="inlineStr">
        <is>
          <t>Reception</t>
        </is>
      </c>
      <c r="H12" s="18" t="inlineStr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Last dance</t>
        </is>
      </c>
      <c r="E13" s="19" t="inlineStr">
        <is>
          <t>Don't Stop Believin'</t>
        </is>
      </c>
      <c r="F13" s="19" t="inlineStr">
        <is>
          <t>Journey</t>
        </is>
      </c>
      <c r="G13" s="19" t="inlineStr">
        <is>
          <t>Reception</t>
        </is>
      </c>
      <c r="H13" s="19" t="inlineStr">
        <is>
          <t>Big finish!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24" customHeight="1">
      <c r="A15" s="1" t="n"/>
      <c r="B15" s="5" t="inlineStr">
        <is>
          <t>DAY OF</t>
        </is>
      </c>
      <c r="C15" s="2" t="n"/>
      <c r="D15" s="6" t="inlineStr">
        <is>
          <t>DO NOT PLAY LIST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17" t="inlineStr">
        <is>
          <t>Song Title</t>
        </is>
      </c>
      <c r="E16" s="17" t="inlineStr">
        <is>
          <t>Artist</t>
        </is>
      </c>
      <c r="F16" s="17" t="inlineStr">
        <is>
          <t>Reason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18" t="inlineStr">
        <is>
          <t>Chicken Dance</t>
        </is>
      </c>
      <c r="E17" s="18" t="inlineStr">
        <is>
          <t>Various</t>
        </is>
      </c>
      <c r="F17" s="18" t="inlineStr">
        <is>
          <t>Too cheesy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19" t="inlineStr">
        <is>
          <t>Macarena</t>
        </is>
      </c>
      <c r="E18" s="19" t="inlineStr">
        <is>
          <t>Los del Rio</t>
        </is>
      </c>
      <c r="F18" s="19" t="inlineStr">
        <is>
          <t>Dated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18" t="inlineStr">
        <is>
          <t>Electric Slide</t>
        </is>
      </c>
      <c r="E19" s="18" t="inlineStr">
        <is>
          <t>Marcia Griffiths</t>
        </is>
      </c>
      <c r="F19" s="18" t="inlineStr">
        <is>
          <t>Overplayed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7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3">
    <mergeCell ref="D2:L2"/>
    <mergeCell ref="D4:O4"/>
    <mergeCell ref="D15:O15"/>
  </mergeCells>
  <dataValidations count="1">
    <dataValidation sqref="H6:H50" showDropDown="0" showInputMessage="0" showErrorMessage="0" allowBlank="1" errorTitle="Invalid Entry" error="Please select from the dropdown list." type="list">
      <formula1>"Ceremony,Reception,Cocktail Hour,Do Not Play"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GIFTS &amp; THANK YOU TRACKER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GIFT LOG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7" t="inlineStr">
        <is>
          <t>From</t>
        </is>
      </c>
      <c r="E5" s="17" t="inlineStr">
        <is>
          <t>Gift Description</t>
        </is>
      </c>
      <c r="F5" s="17" t="inlineStr">
        <is>
          <t>Estimated Value</t>
        </is>
      </c>
      <c r="G5" s="17" t="inlineStr">
        <is>
          <t>Date Received</t>
        </is>
      </c>
      <c r="H5" s="17" t="inlineStr">
        <is>
          <t>Thank You Status</t>
        </is>
      </c>
      <c r="I5" s="17" t="inlineStr">
        <is>
          <t>Date Sent</t>
        </is>
      </c>
      <c r="J5" s="17" t="inlineStr">
        <is>
          <t>Notes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8" t="inlineStr">
        <is>
          <t>Emma Johnson</t>
        </is>
      </c>
      <c r="E6" s="18" t="inlineStr">
        <is>
          <t>KitchenAid Mixer</t>
        </is>
      </c>
      <c r="F6" s="20" t="n">
        <v>350</v>
      </c>
      <c r="G6" s="18" t="inlineStr">
        <is>
          <t>2025-08-01</t>
        </is>
      </c>
      <c r="H6" s="18" t="inlineStr">
        <is>
          <t>Sent</t>
        </is>
      </c>
      <c r="I6" s="18" t="inlineStr">
        <is>
          <t>2025-08-10</t>
        </is>
      </c>
      <c r="J6" s="18" t="inlineStr">
        <is>
          <t>Registry item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9" t="inlineStr">
        <is>
          <t>James Wilson</t>
        </is>
      </c>
      <c r="E7" s="19" t="inlineStr">
        <is>
          <t>Cash Gift</t>
        </is>
      </c>
      <c r="F7" s="21" t="n">
        <v>500</v>
      </c>
      <c r="G7" s="19" t="inlineStr">
        <is>
          <t>2025-08-15</t>
        </is>
      </c>
      <c r="H7" s="19" t="inlineStr">
        <is>
          <t>Sent</t>
        </is>
      </c>
      <c r="I7" s="19" t="inlineStr">
        <is>
          <t>2025-08-20</t>
        </is>
      </c>
      <c r="J7" s="19" t="inlineStr">
        <is>
          <t>Very generous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8" t="inlineStr">
        <is>
          <t>Sophie Chen</t>
        </is>
      </c>
      <c r="E8" s="18" t="inlineStr">
        <is>
          <t>Dinnerware Set</t>
        </is>
      </c>
      <c r="F8" s="20" t="n">
        <v>200</v>
      </c>
      <c r="G8" s="18" t="inlineStr">
        <is>
          <t>2025-08-20</t>
        </is>
      </c>
      <c r="H8" s="18" t="inlineStr">
        <is>
          <t>Pending</t>
        </is>
      </c>
      <c r="I8" s="18" t="inlineStr"/>
      <c r="J8" s="18" t="inlineStr">
        <is>
          <t>Beautiful set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19" t="inlineStr">
        <is>
          <t>The Garcia Family</t>
        </is>
      </c>
      <c r="E9" s="19" t="inlineStr">
        <is>
          <t>Spa Gift Card</t>
        </is>
      </c>
      <c r="F9" s="21" t="n">
        <v>150</v>
      </c>
      <c r="G9" s="19" t="inlineStr">
        <is>
          <t>2025-09-15</t>
        </is>
      </c>
      <c r="H9" s="19" t="inlineStr">
        <is>
          <t>Not Started</t>
        </is>
      </c>
      <c r="I9" s="19" t="inlineStr"/>
      <c r="J9" s="19" t="inlineStr">
        <is>
          <t>Wedding day gift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1" t="n"/>
      <c r="B10" s="9" t="inlineStr">
        <is>
          <t>Save the Date</t>
        </is>
      </c>
      <c r="C10" s="2" t="n"/>
      <c r="D10" s="18" t="inlineStr">
        <is>
          <t>Robert Taylor</t>
        </is>
      </c>
      <c r="E10" s="18" t="inlineStr">
        <is>
          <t>Wine Collection</t>
        </is>
      </c>
      <c r="F10" s="20" t="n">
        <v>120</v>
      </c>
      <c r="G10" s="18" t="inlineStr">
        <is>
          <t>2025-09-01</t>
        </is>
      </c>
      <c r="H10" s="18" t="inlineStr">
        <is>
          <t>Not Started</t>
        </is>
      </c>
      <c r="I10" s="18" t="inlineStr"/>
      <c r="J10" s="18" t="inlineStr">
        <is>
          <t>Nice selection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33" t="inlineStr">
        <is>
          <t>TOTAL GIFTS</t>
        </is>
      </c>
      <c r="E12" s="33">
        <f>COUNTA(D6:D200)</f>
        <v/>
      </c>
      <c r="F12" s="34">
        <f>SUM(F6:F200)</f>
        <v/>
      </c>
      <c r="G12" s="33" t="n"/>
      <c r="H12" s="33" t="n"/>
      <c r="I12" s="33" t="n"/>
      <c r="J12" s="3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24" customHeight="1">
      <c r="A14" s="1" t="n"/>
      <c r="B14" s="1" t="n"/>
      <c r="C14" s="2" t="n"/>
      <c r="D14" s="6" t="inlineStr">
        <is>
          <t>THANK YOU PROGRESS</t>
        </is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7" t="inlineStr">
        <is>
          <t>Status</t>
        </is>
      </c>
      <c r="E15" s="17" t="inlineStr">
        <is>
          <t>Count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2" t="inlineStr">
        <is>
          <t>Sent</t>
        </is>
      </c>
      <c r="E16" s="2">
        <f>COUNTIF(H6:H200,"Sent")</f>
        <v/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2" t="inlineStr">
        <is>
          <t>Pending</t>
        </is>
      </c>
      <c r="E17" s="2">
        <f>COUNTIF(H6:H200,"Pending")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2" t="inlineStr">
        <is>
          <t>Not Started</t>
        </is>
      </c>
      <c r="E18" s="2">
        <f>COUNTIF(H6:H200,"Not Started")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/>
      <c r="B20" s="9" t="inlineStr">
        <is>
          <t>Vendors</t>
        </is>
      </c>
      <c r="C20" s="2" t="n"/>
      <c r="D20" s="26" t="inlineStr">
        <is>
          <t>THANK YOU CARD PROGRESS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27" t="inlineStr">
        <is>
          <t>Track which thank-you notes have been sent, are in progress, or still need to be written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9" t="inlineStr">
        <is>
          <t>Honeymoon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7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5">
    <mergeCell ref="D2:L2"/>
    <mergeCell ref="D21:J21"/>
    <mergeCell ref="D20:J20"/>
    <mergeCell ref="D14:Q14"/>
    <mergeCell ref="D4:Q4"/>
  </mergeCells>
  <dataValidations count="1">
    <dataValidation sqref="H6:H200" showDropDown="0" showInputMessage="0" showErrorMessage="0" allowBlank="1" errorTitle="Invalid Entry" error="Please select from the dropdown list." type="list">
      <formula1>"Sent,Pending,Not Started"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xl/worksheets/sheet22.xml><?xml version="1.0" encoding="utf-8"?>
<worksheet xmlns="http://schemas.openxmlformats.org/spreadsheetml/2006/main">
  <sheetPr>
    <tabColor rgb="00768975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.7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30" customHeight="1">
      <c r="A2" s="1" t="n"/>
      <c r="B2" s="3">
        <f>IF(SETUP!G6="","SET DATE",IF(SETUP!G6-TODAY()&lt;0,"PAST DUE",SETUP!G6-TODAY()&amp;" DAYS"))</f>
        <v/>
      </c>
      <c r="C2" s="2" t="n"/>
      <c r="D2" s="4" t="inlineStr">
        <is>
          <t>HONEYMOON PLANNER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15.75" customHeight="1">
      <c r="A3" s="1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4" customHeight="1">
      <c r="A4" s="1" t="n"/>
      <c r="B4" s="5" t="inlineStr">
        <is>
          <t>OVERVIEW</t>
        </is>
      </c>
      <c r="C4" s="2" t="n"/>
      <c r="D4" s="6" t="inlineStr">
        <is>
          <t>HONEYMOON DETAILS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" t="n"/>
      <c r="B5" s="9" t="inlineStr">
        <is>
          <t>Instructions</t>
        </is>
      </c>
      <c r="C5" s="2" t="n"/>
      <c r="D5" s="10" t="inlineStr">
        <is>
          <t>Destination</t>
        </is>
      </c>
      <c r="E5" s="11" t="n"/>
      <c r="F5" s="11" t="n"/>
      <c r="G5" s="12" t="inlineStr">
        <is>
          <t>Bali, Indonesia</t>
        </is>
      </c>
      <c r="H5" s="13" t="n"/>
      <c r="I5" s="13" t="n"/>
      <c r="J5" s="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/>
      <c r="B6" s="9" t="inlineStr">
        <is>
          <t>SETUP</t>
        </is>
      </c>
      <c r="C6" s="2" t="n"/>
      <c r="D6" s="10" t="inlineStr">
        <is>
          <t>Travel Dates</t>
        </is>
      </c>
      <c r="E6" s="11" t="n"/>
      <c r="F6" s="11" t="n"/>
      <c r="G6" s="12" t="inlineStr">
        <is>
          <t>Sep 20 - Sep 27, 2025</t>
        </is>
      </c>
      <c r="H6" s="13" t="n"/>
      <c r="I6" s="13" t="n"/>
      <c r="J6" s="14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/>
      <c r="B7" s="9" t="inlineStr">
        <is>
          <t>DASHBOARD</t>
        </is>
      </c>
      <c r="C7" s="2" t="n"/>
      <c r="D7" s="10" t="inlineStr">
        <is>
          <t>Total Budget</t>
        </is>
      </c>
      <c r="E7" s="11" t="n"/>
      <c r="F7" s="11" t="n"/>
      <c r="G7" s="16" t="n">
        <v>8000</v>
      </c>
      <c r="H7" s="13" t="n"/>
      <c r="I7" s="13" t="n"/>
      <c r="J7" s="14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/>
      <c r="B8" s="1" t="n"/>
      <c r="C8" s="2" t="n"/>
      <c r="D8" s="10" t="inlineStr">
        <is>
          <t>Booking Status</t>
        </is>
      </c>
      <c r="E8" s="11" t="n"/>
      <c r="F8" s="11" t="n"/>
      <c r="G8" s="12" t="inlineStr">
        <is>
          <t>Partially Booked</t>
        </is>
      </c>
      <c r="H8" s="13" t="n"/>
      <c r="I8" s="13" t="n"/>
      <c r="J8" s="14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/>
      <c r="B9" s="5" t="inlineStr">
        <is>
          <t>PLANNING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24" customHeight="1">
      <c r="A10" s="1" t="n"/>
      <c r="B10" s="9" t="inlineStr">
        <is>
          <t>Save the Date</t>
        </is>
      </c>
      <c r="C10" s="2" t="n"/>
      <c r="D10" s="6" t="inlineStr">
        <is>
          <t>HONEYMOON BUDGET BREAKDOWN</t>
        </is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" t="n"/>
      <c r="B11" s="9" t="inlineStr">
        <is>
          <t>Theme</t>
        </is>
      </c>
      <c r="C11" s="2" t="n"/>
      <c r="D11" s="17" t="inlineStr">
        <is>
          <t>Category</t>
        </is>
      </c>
      <c r="E11" s="17" t="inlineStr">
        <is>
          <t>Item</t>
        </is>
      </c>
      <c r="F11" s="17" t="inlineStr">
        <is>
          <t>Estimated</t>
        </is>
      </c>
      <c r="G11" s="17" t="inlineStr">
        <is>
          <t>Actual</t>
        </is>
      </c>
      <c r="H11" s="17" t="inlineStr">
        <is>
          <t>Booked</t>
        </is>
      </c>
      <c r="I11" s="17" t="inlineStr">
        <is>
          <t>Notes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A12" s="1" t="n"/>
      <c r="B12" s="9" t="inlineStr">
        <is>
          <t>Calendar</t>
        </is>
      </c>
      <c r="C12" s="2" t="n"/>
      <c r="D12" s="18" t="inlineStr">
        <is>
          <t>Transportation</t>
        </is>
      </c>
      <c r="E12" s="18" t="inlineStr">
        <is>
          <t>Round-trip flights</t>
        </is>
      </c>
      <c r="F12" s="20" t="n">
        <v>2000</v>
      </c>
      <c r="G12" s="20" t="n">
        <v>1850</v>
      </c>
      <c r="H12" s="18" t="inlineStr">
        <is>
          <t>Yes</t>
        </is>
      </c>
      <c r="I12" s="18" t="inlineStr">
        <is>
          <t>Direct flights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15.75" customHeight="1">
      <c r="A13" s="1" t="n"/>
      <c r="B13" s="9" t="inlineStr">
        <is>
          <t>Timeline</t>
        </is>
      </c>
      <c r="C13" s="2" t="n"/>
      <c r="D13" s="19" t="inlineStr">
        <is>
          <t>Accommodation</t>
        </is>
      </c>
      <c r="E13" s="19" t="inlineStr">
        <is>
          <t>Hotel (7 nights)</t>
        </is>
      </c>
      <c r="F13" s="21" t="n">
        <v>3500</v>
      </c>
      <c r="G13" s="21" t="n">
        <v>3200</v>
      </c>
      <c r="H13" s="19" t="inlineStr">
        <is>
          <t>Yes</t>
        </is>
      </c>
      <c r="I13" s="19" t="inlineStr">
        <is>
          <t>Ocean view suite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15.75" customHeight="1">
      <c r="A14" s="1" t="n"/>
      <c r="B14" s="1" t="n"/>
      <c r="C14" s="2" t="n"/>
      <c r="D14" s="18" t="inlineStr">
        <is>
          <t>Entertainment</t>
        </is>
      </c>
      <c r="E14" s="18" t="inlineStr">
        <is>
          <t>Activities &amp; tours</t>
        </is>
      </c>
      <c r="F14" s="20" t="n">
        <v>800</v>
      </c>
      <c r="G14" s="20" t="n">
        <v>0</v>
      </c>
      <c r="H14" s="18" t="inlineStr">
        <is>
          <t>No</t>
        </is>
      </c>
      <c r="I14" s="18" t="inlineStr">
        <is>
          <t>Snorkeling, temples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5.75" customHeight="1">
      <c r="A15" s="1" t="n"/>
      <c r="B15" s="5" t="inlineStr">
        <is>
          <t>DAY OF</t>
        </is>
      </c>
      <c r="C15" s="2" t="n"/>
      <c r="D15" s="19" t="inlineStr">
        <is>
          <t>Food &amp; Dining</t>
        </is>
      </c>
      <c r="E15" s="19" t="inlineStr">
        <is>
          <t>Meals (7 days)</t>
        </is>
      </c>
      <c r="F15" s="21" t="n">
        <v>1200</v>
      </c>
      <c r="G15" s="21" t="n">
        <v>0</v>
      </c>
      <c r="H15" s="19" t="inlineStr">
        <is>
          <t>No</t>
        </is>
      </c>
      <c r="I15" s="19" t="inlineStr">
        <is>
          <t>Resort + local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/>
      <c r="B16" s="9" t="inlineStr">
        <is>
          <t>Itinerary</t>
        </is>
      </c>
      <c r="C16" s="2" t="n"/>
      <c r="D16" s="18" t="inlineStr">
        <is>
          <t>Insurance</t>
        </is>
      </c>
      <c r="E16" s="18" t="inlineStr">
        <is>
          <t>Travel insurance</t>
        </is>
      </c>
      <c r="F16" s="20" t="n">
        <v>200</v>
      </c>
      <c r="G16" s="20" t="n">
        <v>180</v>
      </c>
      <c r="H16" s="18" t="inlineStr">
        <is>
          <t>Yes</t>
        </is>
      </c>
      <c r="I16" s="18" t="inlineStr">
        <is>
          <t>Full coverage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" t="n"/>
      <c r="B17" s="9" t="inlineStr">
        <is>
          <t>Packing List</t>
        </is>
      </c>
      <c r="C17" s="2" t="n"/>
      <c r="D17" s="19" t="inlineStr">
        <is>
          <t>Shopping</t>
        </is>
      </c>
      <c r="E17" s="19" t="inlineStr">
        <is>
          <t>Souvenirs &amp; gifts</t>
        </is>
      </c>
      <c r="F17" s="21" t="n">
        <v>300</v>
      </c>
      <c r="G17" s="21" t="n">
        <v>0</v>
      </c>
      <c r="H17" s="19" t="inlineStr">
        <is>
          <t>No</t>
        </is>
      </c>
      <c r="I17" s="19" t="inlineStr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/>
      <c r="B18" s="1" t="n"/>
      <c r="C18" s="2" t="n"/>
      <c r="D18" s="33" t="inlineStr">
        <is>
          <t>TOTALS</t>
        </is>
      </c>
      <c r="E18" s="33" t="n"/>
      <c r="F18" s="34">
        <f>SUM(F12:F17)</f>
        <v/>
      </c>
      <c r="G18" s="34">
        <f>SUM(G12:G17)</f>
        <v/>
      </c>
      <c r="H18" s="33" t="n"/>
      <c r="I18" s="3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/>
      <c r="B19" s="5" t="inlineStr">
        <is>
          <t>VENDORS &amp; 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24" customHeight="1">
      <c r="A20" s="1" t="n"/>
      <c r="B20" s="9" t="inlineStr">
        <is>
          <t>Vendors</t>
        </is>
      </c>
      <c r="C20" s="2" t="n"/>
      <c r="D20" s="6" t="inlineStr">
        <is>
          <t>HONEYMOON COST ANALYSIS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/>
      <c r="B21" s="9" t="inlineStr">
        <is>
          <t>Venues</t>
        </is>
      </c>
      <c r="C21" s="2" t="n"/>
      <c r="D21" s="17" t="inlineStr">
        <is>
          <t>Category</t>
        </is>
      </c>
      <c r="E21" s="17" t="inlineStr">
        <is>
          <t>Estimated</t>
        </is>
      </c>
      <c r="F21" s="2" t="n"/>
      <c r="G21" s="17" t="inlineStr">
        <is>
          <t>Category</t>
        </is>
      </c>
      <c r="H21" s="17" t="inlineStr">
        <is>
          <t>Actual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1" t="n"/>
      <c r="B22" s="9" t="inlineStr">
        <is>
          <t>Contacts</t>
        </is>
      </c>
      <c r="C22" s="2" t="n"/>
      <c r="D22" s="2">
        <f>D12</f>
        <v/>
      </c>
      <c r="E22" s="2">
        <f>F12</f>
        <v/>
      </c>
      <c r="F22" s="2" t="n"/>
      <c r="G22" s="2">
        <f>D12</f>
        <v/>
      </c>
      <c r="H22" s="2">
        <f>G12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" t="n"/>
      <c r="B23" s="1" t="n"/>
      <c r="C23" s="2" t="n"/>
      <c r="D23" s="2">
        <f>D13</f>
        <v/>
      </c>
      <c r="E23" s="2">
        <f>F13</f>
        <v/>
      </c>
      <c r="F23" s="2" t="n"/>
      <c r="G23" s="2">
        <f>D13</f>
        <v/>
      </c>
      <c r="H23" s="2">
        <f>G13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5.75" customHeight="1">
      <c r="A24" s="1" t="n"/>
      <c r="B24" s="5" t="inlineStr">
        <is>
          <t>FINANCES</t>
        </is>
      </c>
      <c r="C24" s="2" t="n"/>
      <c r="D24" s="2">
        <f>D14</f>
        <v/>
      </c>
      <c r="E24" s="2">
        <f>F14</f>
        <v/>
      </c>
      <c r="F24" s="2" t="n"/>
      <c r="G24" s="2">
        <f>D14</f>
        <v/>
      </c>
      <c r="H24" s="2">
        <f>G14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5.75" customHeight="1">
      <c r="A25" s="1" t="n"/>
      <c r="B25" s="9" t="inlineStr">
        <is>
          <t>BUDGET</t>
        </is>
      </c>
      <c r="C25" s="2" t="n"/>
      <c r="D25" s="2">
        <f>D15</f>
        <v/>
      </c>
      <c r="E25" s="2">
        <f>F15</f>
        <v/>
      </c>
      <c r="F25" s="2" t="n"/>
      <c r="G25" s="2">
        <f>D15</f>
        <v/>
      </c>
      <c r="H25" s="2">
        <f>G15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15.75" customHeight="1">
      <c r="A26" s="1" t="n"/>
      <c r="B26" s="7" t="inlineStr">
        <is>
          <t>Honeymoon</t>
        </is>
      </c>
      <c r="C26" s="2" t="n"/>
      <c r="D26" s="2">
        <f>D16</f>
        <v/>
      </c>
      <c r="E26" s="2">
        <f>F16</f>
        <v/>
      </c>
      <c r="F26" s="2" t="n"/>
      <c r="G26" s="2">
        <f>D16</f>
        <v/>
      </c>
      <c r="H26" s="2">
        <f>G16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15.75" customHeight="1">
      <c r="A27" s="1" t="n"/>
      <c r="B27" s="1" t="n"/>
      <c r="C27" s="2" t="n"/>
      <c r="D27" s="2">
        <f>D17</f>
        <v/>
      </c>
      <c r="E27" s="2">
        <f>F17</f>
        <v/>
      </c>
      <c r="F27" s="2" t="n"/>
      <c r="G27" s="2">
        <f>D17</f>
        <v/>
      </c>
      <c r="H27" s="2">
        <f>G17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15.75" customHeight="1">
      <c r="A28" s="1" t="n"/>
      <c r="B28" s="5" t="inlineStr">
        <is>
          <t>GUESTS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15.75" customHeight="1">
      <c r="A29" s="1" t="n"/>
      <c r="B29" s="9" t="inlineStr">
        <is>
          <t>Guest List</t>
        </is>
      </c>
      <c r="C29" s="2" t="n"/>
      <c r="D29" s="26" t="inlineStr">
        <is>
          <t>HONEYMOON BUDGET ALLOCATION</t>
        </is>
      </c>
      <c r="K29" s="2" t="n"/>
      <c r="L29" s="26" t="inlineStr">
        <is>
          <t>ESTIMATED VS ACTUAL HONEYMOON SPEND</t>
        </is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15.75" customHeight="1">
      <c r="A30" s="1" t="n"/>
      <c r="B30" s="9" t="inlineStr">
        <is>
          <t>Seating Plan</t>
        </is>
      </c>
      <c r="C30" s="2" t="n"/>
      <c r="D30" s="27" t="inlineStr">
        <is>
          <t>How your honeymoon budget is distributed across flights, hotel, activities, meals, and more</t>
        </is>
      </c>
      <c r="K30" s="2" t="n"/>
      <c r="L30" s="27" t="inlineStr">
        <is>
          <t>Compare what you planned to spend against actual costs — adjust as you book each item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15.75" customHeight="1">
      <c r="A31" s="1" t="n"/>
      <c r="B31" s="9" t="inlineStr">
        <is>
          <t>Wedding Party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15.75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5.75" customHeight="1">
      <c r="A33" s="1" t="n"/>
      <c r="B33" s="5" t="inlineStr">
        <is>
          <t>DETAILS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5.75" customHeight="1">
      <c r="A34" s="1" t="n"/>
      <c r="B34" s="9" t="inlineStr">
        <is>
          <t>Food &amp; Drinks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5.75" customHeight="1">
      <c r="A35" s="1" t="n"/>
      <c r="B35" s="9" t="inlineStr">
        <is>
          <t>Music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5.75" customHeight="1">
      <c r="A36" s="1" t="n"/>
      <c r="B36" s="9" t="inlineStr">
        <is>
          <t>Photoshoot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5.75" customHeight="1">
      <c r="A37" s="1" t="n"/>
      <c r="B37" s="9" t="inlineStr">
        <is>
          <t>Photo Gallery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5.75" customHeight="1">
      <c r="A38" s="1" t="n"/>
      <c r="B38" s="1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5.75" customHeight="1">
      <c r="A39" s="1" t="n"/>
      <c r="B39" s="5" t="inlineStr">
        <is>
          <t>GIFTS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5.75" customHeight="1">
      <c r="A40" s="1" t="n"/>
      <c r="B40" s="9" t="inlineStr">
        <is>
          <t>Gifts &amp; Thanks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5.7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5.7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5.7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15.7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15.7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15.7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15.7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15.7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5.7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15.7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5.7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5.7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5.7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5.7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5.7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5.7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5.7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5.7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5.7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</sheetData>
  <mergeCells count="16">
    <mergeCell ref="D2:L2"/>
    <mergeCell ref="G6:J6"/>
    <mergeCell ref="D5:F5"/>
    <mergeCell ref="D4:M4"/>
    <mergeCell ref="G8:J8"/>
    <mergeCell ref="D20:Q20"/>
    <mergeCell ref="L30:R30"/>
    <mergeCell ref="D10:Q10"/>
    <mergeCell ref="G7:J7"/>
    <mergeCell ref="L29:R29"/>
    <mergeCell ref="D30:J30"/>
    <mergeCell ref="D7:F7"/>
    <mergeCell ref="D8:F8"/>
    <mergeCell ref="D6:F6"/>
    <mergeCell ref="G5:J5"/>
    <mergeCell ref="D29:J29"/>
  </mergeCells>
  <dataValidations count="1">
    <dataValidation sqref="H12:H30" showDropDown="0" showInputMessage="0" showErrorMessage="0" allowBlank="1" errorTitle="Invalid Entry" error="Please select from the dropdown list." type="list">
      <formula1>"Yes,No,Partial"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40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2026-04-05T00:19:27Z</dcterms:created>
  <dcterms:modified xsi:type="dcterms:W3CDTF">2026-04-05T00:19:30Z</dcterms:modified>
</cp:coreProperties>
</file>